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Test Cases" sheetId="2" r:id="rId6"/>
    <sheet state="visible" name="Bug Log" sheetId="3" r:id="rId7"/>
    <sheet state="visible" name="Summary" sheetId="4" r:id="rId8"/>
  </sheets>
  <definedNames>
    <definedName hidden="1" localSheetId="1" name="_xlnm._FilterDatabase">'Test Cases'!$A$1:$K$44</definedName>
  </definedNames>
  <calcPr/>
</workbook>
</file>

<file path=xl/sharedStrings.xml><?xml version="1.0" encoding="utf-8"?>
<sst xmlns="http://schemas.openxmlformats.org/spreadsheetml/2006/main" count="505" uniqueCount="246">
  <si>
    <t>Test Case ID</t>
  </si>
  <si>
    <t>Movie Ticket Booking System: Module 1 Test Cases</t>
  </si>
  <si>
    <t>Test Execution Summary: Module 1</t>
  </si>
  <si>
    <t>Bug ID</t>
  </si>
  <si>
    <t>Module 1: User Registration &amp; Login  |  Author: Sriram Iyer  |  JIRA project key: MTB</t>
  </si>
  <si>
    <t>How to use</t>
  </si>
  <si>
    <t>Total test cases</t>
  </si>
  <si>
    <t>Step 1</t>
  </si>
  <si>
    <t>Bug Description</t>
  </si>
  <si>
    <t>Related Test Case</t>
  </si>
  <si>
    <t>Run the automatic tests in the project folder:  pytest tests/ -v</t>
  </si>
  <si>
    <t>Steps to Reproduce</t>
  </si>
  <si>
    <t>Step 2</t>
  </si>
  <si>
    <t>Severity</t>
  </si>
  <si>
    <t>Each line of the output ends with PASSED or FAILED next to its Test Case ID (TC01 to TC43).</t>
  </si>
  <si>
    <t>Priority</t>
  </si>
  <si>
    <t>Step 3</t>
  </si>
  <si>
    <t>Status</t>
  </si>
  <si>
    <t>In the 'Test Cases' sheet fill the yellow cells: Actual Result, Status and Bug ID (if the test failed).</t>
  </si>
  <si>
    <t>Resolution</t>
  </si>
  <si>
    <t>Step 4</t>
  </si>
  <si>
    <t>For every FAILED test create a Bug in JIRA, then copy its details into the 'Bug Log' sheet.</t>
  </si>
  <si>
    <t>Retest Result</t>
  </si>
  <si>
    <t>Step 5</t>
  </si>
  <si>
    <t>After the bug is fixed, run the tests again and update the Status to Pass. Keep the old failed run as evidence.</t>
  </si>
  <si>
    <t>Module</t>
  </si>
  <si>
    <t>Test Scenario</t>
  </si>
  <si>
    <t>Colour legend</t>
  </si>
  <si>
    <t>Test Data</t>
  </si>
  <si>
    <t>Expected Result</t>
  </si>
  <si>
    <t>Actual Result</t>
  </si>
  <si>
    <t>Yellow cell</t>
  </si>
  <si>
    <t>Technique</t>
  </si>
  <si>
    <t>Test Level</t>
  </si>
  <si>
    <t>Requirement</t>
  </si>
  <si>
    <t>TC01</t>
  </si>
  <si>
    <t>You fill this cell (Actual Result, Status, Bug ID, and the Bug Log entries).</t>
  </si>
  <si>
    <t>White cell</t>
  </si>
  <si>
    <t>Prepared in advance (scenario, test data, expected result). Expected results come from the requirements FR1 to FR16 in JIRA task MTB-3.</t>
  </si>
  <si>
    <t>Status colours</t>
  </si>
  <si>
    <t>Pass = green, Fail = red, Not Run = grey (automatic).</t>
  </si>
  <si>
    <t>Example (do not copy)</t>
  </si>
  <si>
    <t>Registration</t>
  </si>
  <si>
    <t>Error 'Phone number must be exactly 10 digits.' was shown and the account was not created.</t>
  </si>
  <si>
    <t>Pass</t>
  </si>
  <si>
    <t>Register with all valid details</t>
  </si>
  <si>
    <t>Bug entry</t>
  </si>
  <si>
    <t>Name: Sriram Iyer | Email: sriram@test.com | Phone: 9876543210 | Password: Pass@1234</t>
  </si>
  <si>
    <t>Bug ID: MTB-30 | Summary: Phone number accepts non-English digits | Steps: 1) Open /register 2) Enter Arabic-Indic digits as phone 3) Submit | Severity: Minor | Status: Open</t>
  </si>
  <si>
    <t>Account is created, message 'Registration successful! You can now log in.' is shown and the user is saved in the database</t>
  </si>
  <si>
    <t>Behaved as expected (pytest: PASSED)</t>
  </si>
  <si>
    <t>Assumptions</t>
  </si>
  <si>
    <t>Test data values are chosen for boundary and equivalence classes of the rules in FR2 to FR5. Test Level: Unit = validator functions, Functional = routes and pages, Integration = routes with database.</t>
  </si>
  <si>
    <t>Equivalence Partitioning</t>
  </si>
  <si>
    <t>Functional</t>
  </si>
  <si>
    <t>FR1</t>
  </si>
  <si>
    <t>TC02</t>
  </si>
  <si>
    <t>Name left empty</t>
  </si>
  <si>
    <t>Name: (blank)</t>
  </si>
  <si>
    <t>Error 'Name is required.' is shown; account is not created</t>
  </si>
  <si>
    <t>Input rejected as expected (pytest: PASSED)</t>
  </si>
  <si>
    <t>Validation Testing</t>
  </si>
  <si>
    <t>Unit</t>
  </si>
  <si>
    <t>FR2</t>
  </si>
  <si>
    <t>TC03</t>
  </si>
  <si>
    <t>Name below minimum length</t>
  </si>
  <si>
    <t>Name: Sr (2 characters)</t>
  </si>
  <si>
    <t>Error 'Name must be between 3 and 30 characters.' is shown</t>
  </si>
  <si>
    <t>Passed</t>
  </si>
  <si>
    <t>Boundary Value Analysis</t>
  </si>
  <si>
    <t>TC04</t>
  </si>
  <si>
    <t>Name at minimum length</t>
  </si>
  <si>
    <t>Name: Sri (3 characters)</t>
  </si>
  <si>
    <t>Name is accepted</t>
  </si>
  <si>
    <t>Input accepted as expected (pytest: PASSED)</t>
  </si>
  <si>
    <t>TC05</t>
  </si>
  <si>
    <t>Name at maximum length</t>
  </si>
  <si>
    <t>Name: AAAAAAAAAAAAAAAAAAAAAAAAAAAAAA (30 characters)</t>
  </si>
  <si>
    <t>Failed</t>
  </si>
  <si>
    <t>TC06</t>
  </si>
  <si>
    <t>Name above maximum length</t>
  </si>
  <si>
    <t>Name: AAAAAAAAAAAAAAAAAAAAAAAAAAAAAAA (31 characters)</t>
  </si>
  <si>
    <t>TC07</t>
  </si>
  <si>
    <t>Name containing digits</t>
  </si>
  <si>
    <t>Name: Sriram99</t>
  </si>
  <si>
    <t>Error 'Name can contain only alphabets and spaces.' is shown</t>
  </si>
  <si>
    <t>Not run yet</t>
  </si>
  <si>
    <t>TC08</t>
  </si>
  <si>
    <t>Name containing a special character</t>
  </si>
  <si>
    <t>Name: Sriram@Iyer</t>
  </si>
  <si>
    <t>TC09</t>
  </si>
  <si>
    <t>Name containing only spaces</t>
  </si>
  <si>
    <t>Name: (5 spaces)</t>
  </si>
  <si>
    <t>Error 'Name is required.' is shown</t>
  </si>
  <si>
    <t>Error Guessing</t>
  </si>
  <si>
    <t>Pass percentage (of executed)</t>
  </si>
  <si>
    <t>TC10</t>
  </si>
  <si>
    <t>Email left empty</t>
  </si>
  <si>
    <t>Email: (blank)</t>
  </si>
  <si>
    <t>Error 'Email is required.' is shown</t>
  </si>
  <si>
    <t>FR3</t>
  </si>
  <si>
    <t>TC11</t>
  </si>
  <si>
    <t>Email without @ symbol</t>
  </si>
  <si>
    <t>Email: sriramtest.com</t>
  </si>
  <si>
    <t>Error 'Enter a valid email address.' is shown</t>
  </si>
  <si>
    <t>TC12</t>
  </si>
  <si>
    <t>Email without domain extension</t>
  </si>
  <si>
    <t>Email: sriram@test</t>
  </si>
  <si>
    <t>TC13</t>
  </si>
  <si>
    <t>Email with consecutive dots</t>
  </si>
  <si>
    <t>Email: sri..ram@test.com</t>
  </si>
  <si>
    <t>Email is rejected with 'Enter a valid email address.'</t>
  </si>
  <si>
    <t>First run: email accepted, account created (FAIL). After fix: error shown, account not created (PASS)</t>
  </si>
  <si>
    <t>MTB-29</t>
  </si>
  <si>
    <t>Bugs logged</t>
  </si>
  <si>
    <t>TC14</t>
  </si>
  <si>
    <t>Valid email with plus sign and sub-domain</t>
  </si>
  <si>
    <t>Email: sriram+pbl@test.co.in</t>
  </si>
  <si>
    <t>Email is accepted</t>
  </si>
  <si>
    <t>TC15</t>
  </si>
  <si>
    <t>Phone number left empty</t>
  </si>
  <si>
    <t>Phone: (blank)</t>
  </si>
  <si>
    <t>Error 'Phone number is required.' is shown</t>
  </si>
  <si>
    <t>FR4</t>
  </si>
  <si>
    <t>TC16</t>
  </si>
  <si>
    <t>Phone with 9 digits</t>
  </si>
  <si>
    <t>Phone: 987654321</t>
  </si>
  <si>
    <t>Error 'Phone number must be exactly 10 digits.' is shown</t>
  </si>
  <si>
    <t>TC17</t>
  </si>
  <si>
    <t>Phone with 10 digits</t>
  </si>
  <si>
    <t>Phone: 9876543210</t>
  </si>
  <si>
    <t>Phone number is accepted</t>
  </si>
  <si>
    <t>Total</t>
  </si>
  <si>
    <t>Fail</t>
  </si>
  <si>
    <t>TC18</t>
  </si>
  <si>
    <t>Phone with 11 digits</t>
  </si>
  <si>
    <t>Phone: 98765432101</t>
  </si>
  <si>
    <t>TC19</t>
  </si>
  <si>
    <t>Phone containing letters</t>
  </si>
  <si>
    <t>Phone: 98765abcde</t>
  </si>
  <si>
    <t>Error 'Phone number must contain only digits.' is shown</t>
  </si>
  <si>
    <t>TC20</t>
  </si>
  <si>
    <t>Phone containing a hyphen</t>
  </si>
  <si>
    <t>Phone: 98765-43210</t>
  </si>
  <si>
    <t>TC21</t>
  </si>
  <si>
    <t>Phone containing non-English (Arabic-Indic) digits</t>
  </si>
  <si>
    <t>Phone: ٩٨٧٦٥٤٣٢١٠</t>
  </si>
  <si>
    <t>Phone number is rejected; only digits 0 to 9 are allowed</t>
  </si>
  <si>
    <t>First run: Arabic digits accepted, account created (FAIL). After fix: error shown (PASS)</t>
  </si>
  <si>
    <t>MTB-30</t>
  </si>
  <si>
    <t>TC22</t>
  </si>
  <si>
    <t>Password left empty</t>
  </si>
  <si>
    <t>Password: (blank)</t>
  </si>
  <si>
    <t>Error 'Password is required.' is shown</t>
  </si>
  <si>
    <t>FR5</t>
  </si>
  <si>
    <t>TC23</t>
  </si>
  <si>
    <t>Password with 7 characters</t>
  </si>
  <si>
    <t>Password: Pa@1abc</t>
  </si>
  <si>
    <t>Error 'Password must be between 8 and 20 characters.' is shown</t>
  </si>
  <si>
    <t>TC24</t>
  </si>
  <si>
    <t>Password with 8 characters</t>
  </si>
  <si>
    <t>Password: Pass@123</t>
  </si>
  <si>
    <t>Password is accepted</t>
  </si>
  <si>
    <t>TC25</t>
  </si>
  <si>
    <t>Password with 20 characters</t>
  </si>
  <si>
    <t>Password: Pass@1234567890abcde</t>
  </si>
  <si>
    <t>TC26</t>
  </si>
  <si>
    <t>Password with 21 characters</t>
  </si>
  <si>
    <t>Password: Pass@1234567890abcdef</t>
  </si>
  <si>
    <t>TC27</t>
  </si>
  <si>
    <t>Password without uppercase letter</t>
  </si>
  <si>
    <t>Password: pass@1234</t>
  </si>
  <si>
    <t>Error 'Password must contain at least one uppercase letter.' is shown</t>
  </si>
  <si>
    <t>TC28</t>
  </si>
  <si>
    <t>Password without lowercase letter</t>
  </si>
  <si>
    <t>Password: PASS@1234</t>
  </si>
  <si>
    <t>Error 'Password must contain at least one lowercase letter.' is shown</t>
  </si>
  <si>
    <t>TC29</t>
  </si>
  <si>
    <t>Password without digit</t>
  </si>
  <si>
    <t>Password: Pass@word</t>
  </si>
  <si>
    <t>Error 'Password must contain at least one digit.' is shown</t>
  </si>
  <si>
    <t>TC30</t>
  </si>
  <si>
    <t>Password without special character</t>
  </si>
  <si>
    <t>Password: Pass1234</t>
  </si>
  <si>
    <t>Error 'Password must contain at least one special character.' is shown</t>
  </si>
  <si>
    <t>TC31</t>
  </si>
  <si>
    <t>Register again with an already registered email</t>
  </si>
  <si>
    <t>Register sriram@test.com twice with the same details</t>
  </si>
  <si>
    <t>Second attempt shows 'This email is already registered.'; no second record is created</t>
  </si>
  <si>
    <t>Integration Testing</t>
  </si>
  <si>
    <t>Integration</t>
  </si>
  <si>
    <t>TC32</t>
  </si>
  <si>
    <t>Duplicate email in different letter case</t>
  </si>
  <si>
    <t>First: sriram@test.com | Second: SRIRAM@TEST.COM</t>
  </si>
  <si>
    <t>Second attempt shows 'This email is already registered.'</t>
  </si>
  <si>
    <t>TC33</t>
  </si>
  <si>
    <t>Password is stored as a hash</t>
  </si>
  <si>
    <t>Register with Password: Pass@1234, then check the password_hash column in the database</t>
  </si>
  <si>
    <t>Stored value is a hash and does not contain the plain password</t>
  </si>
  <si>
    <t>Functional Testing</t>
  </si>
  <si>
    <t>TC34</t>
  </si>
  <si>
    <t>Login</t>
  </si>
  <si>
    <t>Login with valid credentials</t>
  </si>
  <si>
    <t>Email: sriram@test.com | Password: Pass@1234</t>
  </si>
  <si>
    <t>User is redirected to the dashboard showing 'Welcome, Sriram Iyer!'</t>
  </si>
  <si>
    <t>FR6</t>
  </si>
  <si>
    <t>TC35</t>
  </si>
  <si>
    <t>Login with email in different letter case</t>
  </si>
  <si>
    <t>Email: SRIRAM@TEST.COM | Password: Pass@1234</t>
  </si>
  <si>
    <t>Login is successful and the dashboard opens</t>
  </si>
  <si>
    <t>TC36</t>
  </si>
  <si>
    <t>Login with wrong password</t>
  </si>
  <si>
    <t>Email: sriram@test.com | Password: Wrong@123</t>
  </si>
  <si>
    <t>Error 'Invalid email or password.' is shown</t>
  </si>
  <si>
    <t>FR7</t>
  </si>
  <si>
    <t>TC37</t>
  </si>
  <si>
    <t>Login with unregistered email</t>
  </si>
  <si>
    <t>Email: nobody@test.com | Password: Pass@1234</t>
  </si>
  <si>
    <t>TC38</t>
  </si>
  <si>
    <t>Login with both fields empty</t>
  </si>
  <si>
    <t>Email: (blank) | Password: (blank)</t>
  </si>
  <si>
    <t>Error 'Email and password are required.' is shown</t>
  </si>
  <si>
    <t>TC39</t>
  </si>
  <si>
    <t>Login with SQL injection attempt</t>
  </si>
  <si>
    <t>Email: ' OR '1'='1 | Password: anything</t>
  </si>
  <si>
    <t>Login is rejected and no session is created</t>
  </si>
  <si>
    <t>TC40</t>
  </si>
  <si>
    <t>Logout</t>
  </si>
  <si>
    <t>Logout while logged in</t>
  </si>
  <si>
    <t>Click Logout in the navbar after logging in</t>
  </si>
  <si>
    <t>Session is cleared and the login page shows 'You have been logged out.'</t>
  </si>
  <si>
    <t>FR8</t>
  </si>
  <si>
    <t>TC41</t>
  </si>
  <si>
    <t>Open dashboard without logging in</t>
  </si>
  <si>
    <t>Open /dashboard directly in a fresh session</t>
  </si>
  <si>
    <t>User is redirected to the login page with 'Please log in to continue.'</t>
  </si>
  <si>
    <t>FR9</t>
  </si>
  <si>
    <t>TC42</t>
  </si>
  <si>
    <t>Open dashboard after logout</t>
  </si>
  <si>
    <t>Login, logout, then open /dashboard</t>
  </si>
  <si>
    <t>User is redirected to the login page</t>
  </si>
  <si>
    <t>TC43</t>
  </si>
  <si>
    <t>Register a new user and login with the same details</t>
  </si>
  <si>
    <t>Register Sriram Iyer, then login with the same email and password</t>
  </si>
  <si>
    <t>Login succeeds and the dashboard shows 'Welcome, Sriram Iyer!'</t>
  </si>
  <si>
    <t>FR1, FR6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</si>
</sst>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Calibri"/>
    </font>
    <font>
      <i/>
      <sz val="10.0"/>
      <color theme="1"/>
      <name val="Arial"/>
    </font>
    <font>
      <b/>
      <sz val="11.0"/>
      <color rgb="FF1F2A44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FF9C4"/>
        <bgColor rgb="FFFFF9C4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0"/>
    </xf>
    <xf borderId="0" fillId="0" fontId="5" numFmtId="0" xfId="0" applyAlignment="1" applyFont="1">
      <alignment shrinkToFit="0" vertical="top" wrapText="1"/>
    </xf>
    <xf borderId="1" fillId="2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top" wrapText="0"/>
    </xf>
    <xf borderId="1" fillId="0" fontId="7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shrinkToFit="0" vertical="top" wrapText="0"/>
    </xf>
    <xf borderId="1" fillId="3" fontId="5" numFmtId="0" xfId="0" applyAlignment="1" applyBorder="1" applyFill="1" applyFont="1">
      <alignment horizontal="center" shrinkToFit="0" vertical="top" wrapText="1"/>
    </xf>
    <xf borderId="1" fillId="3" fontId="5" numFmtId="0" xfId="0" applyAlignment="1" applyBorder="1" applyFill="1" applyFont="1">
      <alignment horizontal="left" shrinkToFit="0" vertical="top" wrapText="1"/>
    </xf>
    <xf borderId="2" fillId="3" fontId="5" numFmtId="0" xfId="0" applyAlignment="1" applyBorder="1" applyFill="1" applyFont="1">
      <alignment shrinkToFit="0" vertical="top" wrapText="0"/>
    </xf>
    <xf borderId="1" fillId="0" fontId="7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1" fillId="3" fontId="5" numFmtId="0" xfId="0" applyAlignment="1" applyBorder="1" applyFill="1" applyFont="1">
      <alignment horizontal="left" readingOrder="0" shrinkToFit="0" vertical="top" wrapText="1"/>
    </xf>
    <xf borderId="1" fillId="3" fontId="5" numFmtId="0" xfId="0" applyAlignment="1" applyBorder="1" applyFill="1" applyFont="1">
      <alignment horizontal="center" readingOrder="0" shrinkToFit="0" vertical="top" wrapText="1"/>
    </xf>
    <xf borderId="1" fillId="0" fontId="5" numFmtId="164" xfId="0" applyAlignment="1" applyBorder="1" applyFont="1" applyNumberFormat="1">
      <alignment horizontal="center" shrinkToFit="0" vertical="top" wrapText="1"/>
    </xf>
  </cellXfs>
  <cellStyles count="1">
    <cellStyle xfId="0" name="Normal" builtinId="0"/>
  </cellStyles>
  <dxfs count="3">
    <dxf>
      <font>
        <b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color rgb="FF595959"/>
        <name val="Arial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95.0"/>
    <col customWidth="1" min="3" max="26" width="8.71"/>
  </cols>
  <sheetData>
    <row r="1" ht="17.25" customHeight="1">
      <c r="A1" s="1" t="s">
        <v>1</v>
      </c>
      <c r="B1" s="2"/>
    </row>
    <row r="2" ht="15.0" customHeight="1">
      <c r="A2" s="3" t="s">
        <v>4</v>
      </c>
      <c r="B2" s="2"/>
    </row>
    <row r="3">
      <c r="A3" s="2"/>
      <c r="B3" s="2"/>
    </row>
    <row r="4" ht="15.0" customHeight="1">
      <c r="A4" s="4" t="s">
        <v>5</v>
      </c>
      <c r="B4" s="5"/>
    </row>
    <row r="5" ht="15.0" customHeight="1">
      <c r="A5" s="7" t="s">
        <v>7</v>
      </c>
      <c r="B5" s="5" t="s">
        <v>10</v>
      </c>
    </row>
    <row r="6" ht="15.0" customHeight="1">
      <c r="A6" s="7" t="s">
        <v>12</v>
      </c>
      <c r="B6" s="5" t="s">
        <v>14</v>
      </c>
    </row>
    <row r="7" ht="15.0" customHeight="1">
      <c r="A7" s="7" t="s">
        <v>16</v>
      </c>
      <c r="B7" s="5" t="s">
        <v>18</v>
      </c>
    </row>
    <row r="8" ht="15.0" customHeight="1">
      <c r="A8" s="7" t="s">
        <v>20</v>
      </c>
      <c r="B8" s="5" t="s">
        <v>21</v>
      </c>
    </row>
    <row r="9" ht="15.0" customHeight="1">
      <c r="A9" s="7" t="s">
        <v>23</v>
      </c>
      <c r="B9" s="5" t="s">
        <v>24</v>
      </c>
    </row>
    <row r="10" ht="15.0" customHeight="1">
      <c r="A10" s="9"/>
      <c r="B10" s="5"/>
    </row>
    <row r="11" ht="15.0" customHeight="1">
      <c r="A11" s="4" t="s">
        <v>27</v>
      </c>
      <c r="B11" s="5"/>
    </row>
    <row r="12" ht="15.0" customHeight="1">
      <c r="A12" s="12" t="s">
        <v>31</v>
      </c>
      <c r="B12" s="5" t="s">
        <v>36</v>
      </c>
    </row>
    <row r="13" ht="23.25" customHeight="1">
      <c r="A13" s="9" t="s">
        <v>37</v>
      </c>
      <c r="B13" s="5" t="s">
        <v>38</v>
      </c>
    </row>
    <row r="14" ht="15.0" customHeight="1">
      <c r="A14" s="9" t="s">
        <v>39</v>
      </c>
      <c r="B14" s="5" t="s">
        <v>40</v>
      </c>
    </row>
    <row r="15" ht="15.0" customHeight="1">
      <c r="A15" s="9"/>
      <c r="B15" s="5"/>
    </row>
    <row r="16" ht="15.0" customHeight="1">
      <c r="A16" s="4" t="s">
        <v>41</v>
      </c>
      <c r="B16" s="5"/>
    </row>
    <row r="17" ht="15.0" customHeight="1">
      <c r="A17" s="9" t="s">
        <v>30</v>
      </c>
      <c r="B17" s="5" t="s">
        <v>43</v>
      </c>
    </row>
    <row r="18" ht="15.0" customHeight="1">
      <c r="A18" s="9" t="s">
        <v>17</v>
      </c>
      <c r="B18" s="5" t="s">
        <v>44</v>
      </c>
    </row>
    <row r="19" ht="23.25" customHeight="1">
      <c r="A19" s="9" t="s">
        <v>46</v>
      </c>
      <c r="B19" s="5" t="s">
        <v>48</v>
      </c>
    </row>
    <row r="20" ht="15.0" customHeight="1">
      <c r="A20" s="9"/>
      <c r="B20" s="5"/>
    </row>
    <row r="21" ht="23.25" customHeight="1">
      <c r="A21" s="9" t="s">
        <v>51</v>
      </c>
      <c r="B21" s="5" t="s">
        <v>52</v>
      </c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38.0"/>
    <col customWidth="1" min="4" max="4" width="46.0"/>
    <col customWidth="1" min="5" max="5" width="52.0"/>
    <col customWidth="1" min="6" max="6" width="40.0"/>
    <col customWidth="1" min="7" max="7" width="11.0"/>
    <col customWidth="1" min="8" max="8" width="24.0"/>
    <col customWidth="1" min="9" max="9" width="12.0"/>
    <col customWidth="1" min="10" max="10" width="13.0"/>
    <col customWidth="1" min="11" max="11" width="12.0"/>
    <col customWidth="1" min="12" max="26" width="8.71"/>
  </cols>
  <sheetData>
    <row r="1" ht="27.75" customHeight="1">
      <c r="A1" s="6" t="s">
        <v>0</v>
      </c>
      <c r="B1" s="6" t="s">
        <v>25</v>
      </c>
      <c r="C1" s="6" t="s">
        <v>26</v>
      </c>
      <c r="D1" s="6" t="s">
        <v>28</v>
      </c>
      <c r="E1" s="6" t="s">
        <v>29</v>
      </c>
      <c r="F1" s="6" t="s">
        <v>30</v>
      </c>
      <c r="G1" s="6" t="s">
        <v>17</v>
      </c>
      <c r="H1" s="6" t="s">
        <v>32</v>
      </c>
      <c r="I1" s="6" t="s">
        <v>33</v>
      </c>
      <c r="J1" s="6" t="s">
        <v>34</v>
      </c>
      <c r="K1" s="6" t="s">
        <v>3</v>
      </c>
    </row>
    <row r="2" ht="23.25" customHeight="1">
      <c r="A2" s="13" t="s">
        <v>35</v>
      </c>
      <c r="B2" s="14" t="s">
        <v>42</v>
      </c>
      <c r="C2" s="14" t="s">
        <v>45</v>
      </c>
      <c r="D2" s="14" t="s">
        <v>47</v>
      </c>
      <c r="E2" s="14" t="s">
        <v>49</v>
      </c>
      <c r="F2" s="11" t="s">
        <v>50</v>
      </c>
      <c r="G2" s="10" t="s">
        <v>44</v>
      </c>
      <c r="H2" s="14" t="s">
        <v>53</v>
      </c>
      <c r="I2" s="15" t="s">
        <v>54</v>
      </c>
      <c r="J2" s="15" t="s">
        <v>55</v>
      </c>
      <c r="K2" s="10"/>
    </row>
    <row r="3" ht="15.0" customHeight="1">
      <c r="A3" s="13" t="s">
        <v>56</v>
      </c>
      <c r="B3" s="14" t="s">
        <v>42</v>
      </c>
      <c r="C3" s="14" t="s">
        <v>57</v>
      </c>
      <c r="D3" s="14" t="s">
        <v>58</v>
      </c>
      <c r="E3" s="14" t="s">
        <v>59</v>
      </c>
      <c r="F3" s="11" t="s">
        <v>60</v>
      </c>
      <c r="G3" s="10" t="s">
        <v>44</v>
      </c>
      <c r="H3" s="14" t="s">
        <v>61</v>
      </c>
      <c r="I3" s="15" t="s">
        <v>62</v>
      </c>
      <c r="J3" s="15" t="s">
        <v>63</v>
      </c>
      <c r="K3" s="10"/>
    </row>
    <row r="4" ht="15.0" customHeight="1">
      <c r="A4" s="13" t="s">
        <v>64</v>
      </c>
      <c r="B4" s="14" t="s">
        <v>42</v>
      </c>
      <c r="C4" s="14" t="s">
        <v>65</v>
      </c>
      <c r="D4" s="14" t="s">
        <v>66</v>
      </c>
      <c r="E4" s="14" t="s">
        <v>67</v>
      </c>
      <c r="F4" s="11" t="s">
        <v>60</v>
      </c>
      <c r="G4" s="10" t="s">
        <v>44</v>
      </c>
      <c r="H4" s="14" t="s">
        <v>69</v>
      </c>
      <c r="I4" s="15" t="s">
        <v>62</v>
      </c>
      <c r="J4" s="15" t="s">
        <v>63</v>
      </c>
      <c r="K4" s="10"/>
    </row>
    <row r="5" ht="15.0" customHeight="1">
      <c r="A5" s="13" t="s">
        <v>70</v>
      </c>
      <c r="B5" s="14" t="s">
        <v>42</v>
      </c>
      <c r="C5" s="14" t="s">
        <v>71</v>
      </c>
      <c r="D5" s="14" t="s">
        <v>72</v>
      </c>
      <c r="E5" s="14" t="s">
        <v>73</v>
      </c>
      <c r="F5" s="11" t="s">
        <v>74</v>
      </c>
      <c r="G5" s="10" t="s">
        <v>44</v>
      </c>
      <c r="H5" s="14" t="s">
        <v>69</v>
      </c>
      <c r="I5" s="15" t="s">
        <v>62</v>
      </c>
      <c r="J5" s="15" t="s">
        <v>63</v>
      </c>
      <c r="K5" s="10"/>
    </row>
    <row r="6" ht="23.25" customHeight="1">
      <c r="A6" s="13" t="s">
        <v>75</v>
      </c>
      <c r="B6" s="14" t="s">
        <v>42</v>
      </c>
      <c r="C6" s="14" t="s">
        <v>76</v>
      </c>
      <c r="D6" s="14" t="s">
        <v>77</v>
      </c>
      <c r="E6" s="14" t="s">
        <v>73</v>
      </c>
      <c r="F6" s="11" t="s">
        <v>74</v>
      </c>
      <c r="G6" s="10" t="s">
        <v>44</v>
      </c>
      <c r="H6" s="14" t="s">
        <v>69</v>
      </c>
      <c r="I6" s="15" t="s">
        <v>62</v>
      </c>
      <c r="J6" s="15" t="s">
        <v>63</v>
      </c>
      <c r="K6" s="10"/>
    </row>
    <row r="7" ht="23.25" customHeight="1">
      <c r="A7" s="13" t="s">
        <v>79</v>
      </c>
      <c r="B7" s="14" t="s">
        <v>42</v>
      </c>
      <c r="C7" s="14" t="s">
        <v>80</v>
      </c>
      <c r="D7" s="14" t="s">
        <v>81</v>
      </c>
      <c r="E7" s="14" t="s">
        <v>67</v>
      </c>
      <c r="F7" s="11" t="s">
        <v>60</v>
      </c>
      <c r="G7" s="10" t="s">
        <v>44</v>
      </c>
      <c r="H7" s="14" t="s">
        <v>69</v>
      </c>
      <c r="I7" s="15" t="s">
        <v>62</v>
      </c>
      <c r="J7" s="15" t="s">
        <v>63</v>
      </c>
      <c r="K7" s="10"/>
    </row>
    <row r="8" ht="15.0" customHeight="1">
      <c r="A8" s="13" t="s">
        <v>82</v>
      </c>
      <c r="B8" s="14" t="s">
        <v>42</v>
      </c>
      <c r="C8" s="14" t="s">
        <v>83</v>
      </c>
      <c r="D8" s="14" t="s">
        <v>84</v>
      </c>
      <c r="E8" s="14" t="s">
        <v>85</v>
      </c>
      <c r="F8" s="11" t="s">
        <v>60</v>
      </c>
      <c r="G8" s="10" t="s">
        <v>44</v>
      </c>
      <c r="H8" s="14" t="s">
        <v>53</v>
      </c>
      <c r="I8" s="15" t="s">
        <v>62</v>
      </c>
      <c r="J8" s="15" t="s">
        <v>63</v>
      </c>
      <c r="K8" s="10"/>
    </row>
    <row r="9" ht="15.0" customHeight="1">
      <c r="A9" s="13" t="s">
        <v>87</v>
      </c>
      <c r="B9" s="14" t="s">
        <v>42</v>
      </c>
      <c r="C9" s="14" t="s">
        <v>88</v>
      </c>
      <c r="D9" s="14" t="s">
        <v>89</v>
      </c>
      <c r="E9" s="14" t="s">
        <v>85</v>
      </c>
      <c r="F9" s="11" t="s">
        <v>60</v>
      </c>
      <c r="G9" s="10" t="s">
        <v>44</v>
      </c>
      <c r="H9" s="14" t="s">
        <v>53</v>
      </c>
      <c r="I9" s="15" t="s">
        <v>62</v>
      </c>
      <c r="J9" s="15" t="s">
        <v>63</v>
      </c>
      <c r="K9" s="10"/>
    </row>
    <row r="10" ht="15.0" customHeight="1">
      <c r="A10" s="13" t="s">
        <v>90</v>
      </c>
      <c r="B10" s="14" t="s">
        <v>42</v>
      </c>
      <c r="C10" s="14" t="s">
        <v>91</v>
      </c>
      <c r="D10" s="14" t="s">
        <v>92</v>
      </c>
      <c r="E10" s="14" t="s">
        <v>93</v>
      </c>
      <c r="F10" s="11" t="s">
        <v>60</v>
      </c>
      <c r="G10" s="10" t="s">
        <v>44</v>
      </c>
      <c r="H10" s="14" t="s">
        <v>94</v>
      </c>
      <c r="I10" s="15" t="s">
        <v>62</v>
      </c>
      <c r="J10" s="15" t="s">
        <v>63</v>
      </c>
      <c r="K10" s="10"/>
    </row>
    <row r="11" ht="15.0" customHeight="1">
      <c r="A11" s="13" t="s">
        <v>96</v>
      </c>
      <c r="B11" s="14" t="s">
        <v>42</v>
      </c>
      <c r="C11" s="14" t="s">
        <v>97</v>
      </c>
      <c r="D11" s="14" t="s">
        <v>98</v>
      </c>
      <c r="E11" s="14" t="s">
        <v>99</v>
      </c>
      <c r="F11" s="11" t="s">
        <v>60</v>
      </c>
      <c r="G11" s="10" t="s">
        <v>44</v>
      </c>
      <c r="H11" s="14" t="s">
        <v>61</v>
      </c>
      <c r="I11" s="15" t="s">
        <v>62</v>
      </c>
      <c r="J11" s="15" t="s">
        <v>100</v>
      </c>
      <c r="K11" s="10"/>
    </row>
    <row r="12" ht="15.0" customHeight="1">
      <c r="A12" s="13" t="s">
        <v>101</v>
      </c>
      <c r="B12" s="14" t="s">
        <v>42</v>
      </c>
      <c r="C12" s="14" t="s">
        <v>102</v>
      </c>
      <c r="D12" s="14" t="s">
        <v>103</v>
      </c>
      <c r="E12" s="14" t="s">
        <v>104</v>
      </c>
      <c r="F12" s="11" t="s">
        <v>60</v>
      </c>
      <c r="G12" s="10" t="s">
        <v>44</v>
      </c>
      <c r="H12" s="14" t="s">
        <v>53</v>
      </c>
      <c r="I12" s="15" t="s">
        <v>62</v>
      </c>
      <c r="J12" s="15" t="s">
        <v>100</v>
      </c>
      <c r="K12" s="10"/>
    </row>
    <row r="13" ht="15.0" customHeight="1">
      <c r="A13" s="13" t="s">
        <v>105</v>
      </c>
      <c r="B13" s="14" t="s">
        <v>42</v>
      </c>
      <c r="C13" s="14" t="s">
        <v>106</v>
      </c>
      <c r="D13" s="14" t="s">
        <v>107</v>
      </c>
      <c r="E13" s="14" t="s">
        <v>104</v>
      </c>
      <c r="F13" s="11" t="s">
        <v>60</v>
      </c>
      <c r="G13" s="10" t="s">
        <v>44</v>
      </c>
      <c r="H13" s="14" t="s">
        <v>53</v>
      </c>
      <c r="I13" s="15" t="s">
        <v>62</v>
      </c>
      <c r="J13" s="15" t="s">
        <v>100</v>
      </c>
      <c r="K13" s="10"/>
    </row>
    <row r="14" ht="15.0" customHeight="1">
      <c r="A14" s="13" t="s">
        <v>108</v>
      </c>
      <c r="B14" s="14" t="s">
        <v>42</v>
      </c>
      <c r="C14" s="14" t="s">
        <v>109</v>
      </c>
      <c r="D14" s="14" t="s">
        <v>110</v>
      </c>
      <c r="E14" s="14" t="s">
        <v>111</v>
      </c>
      <c r="F14" s="16" t="s">
        <v>112</v>
      </c>
      <c r="G14" s="17" t="s">
        <v>44</v>
      </c>
      <c r="H14" s="14" t="s">
        <v>94</v>
      </c>
      <c r="I14" s="15" t="s">
        <v>62</v>
      </c>
      <c r="J14" s="15" t="s">
        <v>100</v>
      </c>
      <c r="K14" s="17" t="s">
        <v>113</v>
      </c>
    </row>
    <row r="15" ht="15.0" customHeight="1">
      <c r="A15" s="13" t="s">
        <v>115</v>
      </c>
      <c r="B15" s="14" t="s">
        <v>42</v>
      </c>
      <c r="C15" s="14" t="s">
        <v>116</v>
      </c>
      <c r="D15" s="14" t="s">
        <v>117</v>
      </c>
      <c r="E15" s="14" t="s">
        <v>118</v>
      </c>
      <c r="F15" s="11" t="s">
        <v>74</v>
      </c>
      <c r="G15" s="10" t="s">
        <v>44</v>
      </c>
      <c r="H15" s="14" t="s">
        <v>53</v>
      </c>
      <c r="I15" s="15" t="s">
        <v>62</v>
      </c>
      <c r="J15" s="15" t="s">
        <v>100</v>
      </c>
      <c r="K15" s="10"/>
    </row>
    <row r="16" ht="15.0" customHeight="1">
      <c r="A16" s="13" t="s">
        <v>119</v>
      </c>
      <c r="B16" s="14" t="s">
        <v>42</v>
      </c>
      <c r="C16" s="14" t="s">
        <v>120</v>
      </c>
      <c r="D16" s="14" t="s">
        <v>121</v>
      </c>
      <c r="E16" s="14" t="s">
        <v>122</v>
      </c>
      <c r="F16" s="11" t="s">
        <v>60</v>
      </c>
      <c r="G16" s="10" t="s">
        <v>44</v>
      </c>
      <c r="H16" s="14" t="s">
        <v>61</v>
      </c>
      <c r="I16" s="15" t="s">
        <v>62</v>
      </c>
      <c r="J16" s="15" t="s">
        <v>123</v>
      </c>
      <c r="K16" s="10"/>
    </row>
    <row r="17" ht="15.0" customHeight="1">
      <c r="A17" s="13" t="s">
        <v>124</v>
      </c>
      <c r="B17" s="14" t="s">
        <v>42</v>
      </c>
      <c r="C17" s="14" t="s">
        <v>125</v>
      </c>
      <c r="D17" s="14" t="s">
        <v>126</v>
      </c>
      <c r="E17" s="14" t="s">
        <v>127</v>
      </c>
      <c r="F17" s="11" t="s">
        <v>60</v>
      </c>
      <c r="G17" s="10" t="s">
        <v>44</v>
      </c>
      <c r="H17" s="14" t="s">
        <v>69</v>
      </c>
      <c r="I17" s="15" t="s">
        <v>62</v>
      </c>
      <c r="J17" s="15" t="s">
        <v>123</v>
      </c>
      <c r="K17" s="10"/>
    </row>
    <row r="18" ht="15.0" customHeight="1">
      <c r="A18" s="13" t="s">
        <v>128</v>
      </c>
      <c r="B18" s="14" t="s">
        <v>42</v>
      </c>
      <c r="C18" s="14" t="s">
        <v>129</v>
      </c>
      <c r="D18" s="14" t="s">
        <v>130</v>
      </c>
      <c r="E18" s="14" t="s">
        <v>131</v>
      </c>
      <c r="F18" s="11" t="s">
        <v>74</v>
      </c>
      <c r="G18" s="10" t="s">
        <v>44</v>
      </c>
      <c r="H18" s="14" t="s">
        <v>69</v>
      </c>
      <c r="I18" s="15" t="s">
        <v>62</v>
      </c>
      <c r="J18" s="15" t="s">
        <v>123</v>
      </c>
      <c r="K18" s="10"/>
    </row>
    <row r="19" ht="15.0" customHeight="1">
      <c r="A19" s="13" t="s">
        <v>134</v>
      </c>
      <c r="B19" s="14" t="s">
        <v>42</v>
      </c>
      <c r="C19" s="14" t="s">
        <v>135</v>
      </c>
      <c r="D19" s="14" t="s">
        <v>136</v>
      </c>
      <c r="E19" s="14" t="s">
        <v>127</v>
      </c>
      <c r="F19" s="11" t="s">
        <v>60</v>
      </c>
      <c r="G19" s="10" t="s">
        <v>44</v>
      </c>
      <c r="H19" s="14" t="s">
        <v>69</v>
      </c>
      <c r="I19" s="15" t="s">
        <v>62</v>
      </c>
      <c r="J19" s="15" t="s">
        <v>123</v>
      </c>
      <c r="K19" s="10"/>
    </row>
    <row r="20" ht="15.0" customHeight="1">
      <c r="A20" s="13" t="s">
        <v>137</v>
      </c>
      <c r="B20" s="14" t="s">
        <v>42</v>
      </c>
      <c r="C20" s="14" t="s">
        <v>138</v>
      </c>
      <c r="D20" s="14" t="s">
        <v>139</v>
      </c>
      <c r="E20" s="14" t="s">
        <v>140</v>
      </c>
      <c r="F20" s="11" t="s">
        <v>60</v>
      </c>
      <c r="G20" s="10" t="s">
        <v>44</v>
      </c>
      <c r="H20" s="14" t="s">
        <v>53</v>
      </c>
      <c r="I20" s="15" t="s">
        <v>62</v>
      </c>
      <c r="J20" s="15" t="s">
        <v>123</v>
      </c>
      <c r="K20" s="10"/>
    </row>
    <row r="21" ht="15.0" customHeight="1">
      <c r="A21" s="13" t="s">
        <v>141</v>
      </c>
      <c r="B21" s="14" t="s">
        <v>42</v>
      </c>
      <c r="C21" s="14" t="s">
        <v>142</v>
      </c>
      <c r="D21" s="14" t="s">
        <v>143</v>
      </c>
      <c r="E21" s="14" t="s">
        <v>140</v>
      </c>
      <c r="F21" s="11" t="s">
        <v>60</v>
      </c>
      <c r="G21" s="10" t="s">
        <v>44</v>
      </c>
      <c r="H21" s="14" t="s">
        <v>53</v>
      </c>
      <c r="I21" s="15" t="s">
        <v>62</v>
      </c>
      <c r="J21" s="15" t="s">
        <v>123</v>
      </c>
      <c r="K21" s="10"/>
    </row>
    <row r="22" ht="23.25" customHeight="1">
      <c r="A22" s="13" t="s">
        <v>144</v>
      </c>
      <c r="B22" s="14" t="s">
        <v>42</v>
      </c>
      <c r="C22" s="14" t="s">
        <v>145</v>
      </c>
      <c r="D22" s="14" t="s">
        <v>146</v>
      </c>
      <c r="E22" s="14" t="s">
        <v>147</v>
      </c>
      <c r="F22" s="16" t="s">
        <v>148</v>
      </c>
      <c r="G22" s="17" t="s">
        <v>44</v>
      </c>
      <c r="H22" s="14" t="s">
        <v>94</v>
      </c>
      <c r="I22" s="15" t="s">
        <v>62</v>
      </c>
      <c r="J22" s="15" t="s">
        <v>123</v>
      </c>
      <c r="K22" s="17" t="s">
        <v>149</v>
      </c>
    </row>
    <row r="23" ht="15.0" customHeight="1">
      <c r="A23" s="13" t="s">
        <v>150</v>
      </c>
      <c r="B23" s="14" t="s">
        <v>42</v>
      </c>
      <c r="C23" s="14" t="s">
        <v>151</v>
      </c>
      <c r="D23" s="14" t="s">
        <v>152</v>
      </c>
      <c r="E23" s="14" t="s">
        <v>153</v>
      </c>
      <c r="F23" s="11" t="s">
        <v>60</v>
      </c>
      <c r="G23" s="10" t="s">
        <v>44</v>
      </c>
      <c r="H23" s="14" t="s">
        <v>61</v>
      </c>
      <c r="I23" s="15" t="s">
        <v>62</v>
      </c>
      <c r="J23" s="15" t="s">
        <v>154</v>
      </c>
      <c r="K23" s="10"/>
    </row>
    <row r="24" ht="23.25" customHeight="1">
      <c r="A24" s="13" t="s">
        <v>155</v>
      </c>
      <c r="B24" s="14" t="s">
        <v>42</v>
      </c>
      <c r="C24" s="14" t="s">
        <v>156</v>
      </c>
      <c r="D24" s="14" t="s">
        <v>157</v>
      </c>
      <c r="E24" s="14" t="s">
        <v>158</v>
      </c>
      <c r="F24" s="11" t="s">
        <v>60</v>
      </c>
      <c r="G24" s="10" t="s">
        <v>44</v>
      </c>
      <c r="H24" s="14" t="s">
        <v>69</v>
      </c>
      <c r="I24" s="15" t="s">
        <v>62</v>
      </c>
      <c r="J24" s="15" t="s">
        <v>154</v>
      </c>
      <c r="K24" s="10"/>
    </row>
    <row r="25" ht="15.0" customHeight="1">
      <c r="A25" s="13" t="s">
        <v>159</v>
      </c>
      <c r="B25" s="14" t="s">
        <v>42</v>
      </c>
      <c r="C25" s="14" t="s">
        <v>160</v>
      </c>
      <c r="D25" s="14" t="s">
        <v>161</v>
      </c>
      <c r="E25" s="14" t="s">
        <v>162</v>
      </c>
      <c r="F25" s="11" t="s">
        <v>74</v>
      </c>
      <c r="G25" s="10" t="s">
        <v>44</v>
      </c>
      <c r="H25" s="14" t="s">
        <v>69</v>
      </c>
      <c r="I25" s="15" t="s">
        <v>62</v>
      </c>
      <c r="J25" s="15" t="s">
        <v>154</v>
      </c>
      <c r="K25" s="10"/>
    </row>
    <row r="26" ht="15.0" customHeight="1">
      <c r="A26" s="13" t="s">
        <v>163</v>
      </c>
      <c r="B26" s="14" t="s">
        <v>42</v>
      </c>
      <c r="C26" s="14" t="s">
        <v>164</v>
      </c>
      <c r="D26" s="14" t="s">
        <v>165</v>
      </c>
      <c r="E26" s="14" t="s">
        <v>162</v>
      </c>
      <c r="F26" s="11" t="s">
        <v>74</v>
      </c>
      <c r="G26" s="10" t="s">
        <v>44</v>
      </c>
      <c r="H26" s="14" t="s">
        <v>69</v>
      </c>
      <c r="I26" s="15" t="s">
        <v>62</v>
      </c>
      <c r="J26" s="15" t="s">
        <v>154</v>
      </c>
      <c r="K26" s="10"/>
    </row>
    <row r="27" ht="23.25" customHeight="1">
      <c r="A27" s="13" t="s">
        <v>166</v>
      </c>
      <c r="B27" s="14" t="s">
        <v>42</v>
      </c>
      <c r="C27" s="14" t="s">
        <v>167</v>
      </c>
      <c r="D27" s="14" t="s">
        <v>168</v>
      </c>
      <c r="E27" s="14" t="s">
        <v>158</v>
      </c>
      <c r="F27" s="11" t="s">
        <v>60</v>
      </c>
      <c r="G27" s="10" t="s">
        <v>44</v>
      </c>
      <c r="H27" s="14" t="s">
        <v>69</v>
      </c>
      <c r="I27" s="15" t="s">
        <v>62</v>
      </c>
      <c r="J27" s="15" t="s">
        <v>154</v>
      </c>
      <c r="K27" s="10"/>
    </row>
    <row r="28" ht="23.25" customHeight="1">
      <c r="A28" s="13" t="s">
        <v>169</v>
      </c>
      <c r="B28" s="14" t="s">
        <v>42</v>
      </c>
      <c r="C28" s="14" t="s">
        <v>170</v>
      </c>
      <c r="D28" s="14" t="s">
        <v>171</v>
      </c>
      <c r="E28" s="14" t="s">
        <v>172</v>
      </c>
      <c r="F28" s="11" t="s">
        <v>60</v>
      </c>
      <c r="G28" s="10" t="s">
        <v>44</v>
      </c>
      <c r="H28" s="14" t="s">
        <v>53</v>
      </c>
      <c r="I28" s="15" t="s">
        <v>62</v>
      </c>
      <c r="J28" s="15" t="s">
        <v>154</v>
      </c>
      <c r="K28" s="10"/>
    </row>
    <row r="29" ht="23.25" customHeight="1">
      <c r="A29" s="13" t="s">
        <v>173</v>
      </c>
      <c r="B29" s="14" t="s">
        <v>42</v>
      </c>
      <c r="C29" s="14" t="s">
        <v>174</v>
      </c>
      <c r="D29" s="14" t="s">
        <v>175</v>
      </c>
      <c r="E29" s="14" t="s">
        <v>176</v>
      </c>
      <c r="F29" s="11" t="s">
        <v>60</v>
      </c>
      <c r="G29" s="10" t="s">
        <v>44</v>
      </c>
      <c r="H29" s="14" t="s">
        <v>53</v>
      </c>
      <c r="I29" s="15" t="s">
        <v>62</v>
      </c>
      <c r="J29" s="15" t="s">
        <v>154</v>
      </c>
      <c r="K29" s="10"/>
    </row>
    <row r="30" ht="15.0" customHeight="1">
      <c r="A30" s="13" t="s">
        <v>177</v>
      </c>
      <c r="B30" s="14" t="s">
        <v>42</v>
      </c>
      <c r="C30" s="14" t="s">
        <v>178</v>
      </c>
      <c r="D30" s="14" t="s">
        <v>179</v>
      </c>
      <c r="E30" s="14" t="s">
        <v>180</v>
      </c>
      <c r="F30" s="11" t="s">
        <v>60</v>
      </c>
      <c r="G30" s="10" t="s">
        <v>44</v>
      </c>
      <c r="H30" s="14" t="s">
        <v>53</v>
      </c>
      <c r="I30" s="15" t="s">
        <v>62</v>
      </c>
      <c r="J30" s="15" t="s">
        <v>154</v>
      </c>
      <c r="K30" s="10"/>
    </row>
    <row r="31" ht="23.25" customHeight="1">
      <c r="A31" s="13" t="s">
        <v>181</v>
      </c>
      <c r="B31" s="14" t="s">
        <v>42</v>
      </c>
      <c r="C31" s="14" t="s">
        <v>182</v>
      </c>
      <c r="D31" s="14" t="s">
        <v>183</v>
      </c>
      <c r="E31" s="14" t="s">
        <v>184</v>
      </c>
      <c r="F31" s="11" t="s">
        <v>60</v>
      </c>
      <c r="G31" s="10" t="s">
        <v>44</v>
      </c>
      <c r="H31" s="14" t="s">
        <v>53</v>
      </c>
      <c r="I31" s="15" t="s">
        <v>62</v>
      </c>
      <c r="J31" s="15" t="s">
        <v>154</v>
      </c>
      <c r="K31" s="10"/>
    </row>
    <row r="32" ht="23.25" customHeight="1">
      <c r="A32" s="13" t="s">
        <v>185</v>
      </c>
      <c r="B32" s="14" t="s">
        <v>42</v>
      </c>
      <c r="C32" s="14" t="s">
        <v>186</v>
      </c>
      <c r="D32" s="14" t="s">
        <v>187</v>
      </c>
      <c r="E32" s="14" t="s">
        <v>188</v>
      </c>
      <c r="F32" s="11" t="s">
        <v>50</v>
      </c>
      <c r="G32" s="10" t="s">
        <v>44</v>
      </c>
      <c r="H32" s="14" t="s">
        <v>189</v>
      </c>
      <c r="I32" s="15" t="s">
        <v>190</v>
      </c>
      <c r="J32" s="15" t="s">
        <v>100</v>
      </c>
      <c r="K32" s="10"/>
    </row>
    <row r="33" ht="15.0" customHeight="1">
      <c r="A33" s="13" t="s">
        <v>191</v>
      </c>
      <c r="B33" s="14" t="s">
        <v>42</v>
      </c>
      <c r="C33" s="14" t="s">
        <v>192</v>
      </c>
      <c r="D33" s="14" t="s">
        <v>193</v>
      </c>
      <c r="E33" s="14" t="s">
        <v>194</v>
      </c>
      <c r="F33" s="11" t="s">
        <v>50</v>
      </c>
      <c r="G33" s="10" t="s">
        <v>44</v>
      </c>
      <c r="H33" s="14" t="s">
        <v>53</v>
      </c>
      <c r="I33" s="15" t="s">
        <v>190</v>
      </c>
      <c r="J33" s="15" t="s">
        <v>100</v>
      </c>
      <c r="K33" s="10"/>
    </row>
    <row r="34" ht="23.25" customHeight="1">
      <c r="A34" s="13" t="s">
        <v>195</v>
      </c>
      <c r="B34" s="14" t="s">
        <v>42</v>
      </c>
      <c r="C34" s="14" t="s">
        <v>196</v>
      </c>
      <c r="D34" s="14" t="s">
        <v>197</v>
      </c>
      <c r="E34" s="14" t="s">
        <v>198</v>
      </c>
      <c r="F34" s="11" t="s">
        <v>50</v>
      </c>
      <c r="G34" s="10" t="s">
        <v>44</v>
      </c>
      <c r="H34" s="14" t="s">
        <v>199</v>
      </c>
      <c r="I34" s="15" t="s">
        <v>190</v>
      </c>
      <c r="J34" s="15" t="s">
        <v>55</v>
      </c>
      <c r="K34" s="10"/>
    </row>
    <row r="35" ht="23.25" customHeight="1">
      <c r="A35" s="13" t="s">
        <v>200</v>
      </c>
      <c r="B35" s="14" t="s">
        <v>201</v>
      </c>
      <c r="C35" s="14" t="s">
        <v>202</v>
      </c>
      <c r="D35" s="14" t="s">
        <v>203</v>
      </c>
      <c r="E35" s="14" t="s">
        <v>204</v>
      </c>
      <c r="F35" s="11" t="s">
        <v>50</v>
      </c>
      <c r="G35" s="10" t="s">
        <v>44</v>
      </c>
      <c r="H35" s="14" t="s">
        <v>199</v>
      </c>
      <c r="I35" s="15" t="s">
        <v>54</v>
      </c>
      <c r="J35" s="15" t="s">
        <v>205</v>
      </c>
      <c r="K35" s="10"/>
    </row>
    <row r="36" ht="15.0" customHeight="1">
      <c r="A36" s="13" t="s">
        <v>206</v>
      </c>
      <c r="B36" s="14" t="s">
        <v>201</v>
      </c>
      <c r="C36" s="14" t="s">
        <v>207</v>
      </c>
      <c r="D36" s="14" t="s">
        <v>208</v>
      </c>
      <c r="E36" s="14" t="s">
        <v>209</v>
      </c>
      <c r="F36" s="11" t="s">
        <v>50</v>
      </c>
      <c r="G36" s="10" t="s">
        <v>44</v>
      </c>
      <c r="H36" s="14" t="s">
        <v>53</v>
      </c>
      <c r="I36" s="15" t="s">
        <v>54</v>
      </c>
      <c r="J36" s="15" t="s">
        <v>205</v>
      </c>
      <c r="K36" s="10"/>
    </row>
    <row r="37" ht="15.0" customHeight="1">
      <c r="A37" s="13" t="s">
        <v>210</v>
      </c>
      <c r="B37" s="14" t="s">
        <v>201</v>
      </c>
      <c r="C37" s="14" t="s">
        <v>211</v>
      </c>
      <c r="D37" s="14" t="s">
        <v>212</v>
      </c>
      <c r="E37" s="14" t="s">
        <v>213</v>
      </c>
      <c r="F37" s="11" t="s">
        <v>50</v>
      </c>
      <c r="G37" s="10" t="s">
        <v>44</v>
      </c>
      <c r="H37" s="14" t="s">
        <v>53</v>
      </c>
      <c r="I37" s="15" t="s">
        <v>54</v>
      </c>
      <c r="J37" s="15" t="s">
        <v>214</v>
      </c>
      <c r="K37" s="10"/>
    </row>
    <row r="38" ht="15.0" customHeight="1">
      <c r="A38" s="13" t="s">
        <v>215</v>
      </c>
      <c r="B38" s="14" t="s">
        <v>201</v>
      </c>
      <c r="C38" s="14" t="s">
        <v>216</v>
      </c>
      <c r="D38" s="14" t="s">
        <v>217</v>
      </c>
      <c r="E38" s="14" t="s">
        <v>213</v>
      </c>
      <c r="F38" s="11" t="s">
        <v>50</v>
      </c>
      <c r="G38" s="10" t="s">
        <v>44</v>
      </c>
      <c r="H38" s="14" t="s">
        <v>53</v>
      </c>
      <c r="I38" s="15" t="s">
        <v>54</v>
      </c>
      <c r="J38" s="15" t="s">
        <v>214</v>
      </c>
      <c r="K38" s="10"/>
    </row>
    <row r="39" ht="15.0" customHeight="1">
      <c r="A39" s="13" t="s">
        <v>218</v>
      </c>
      <c r="B39" s="14" t="s">
        <v>201</v>
      </c>
      <c r="C39" s="14" t="s">
        <v>219</v>
      </c>
      <c r="D39" s="14" t="s">
        <v>220</v>
      </c>
      <c r="E39" s="14" t="s">
        <v>221</v>
      </c>
      <c r="F39" s="11" t="s">
        <v>50</v>
      </c>
      <c r="G39" s="10" t="s">
        <v>44</v>
      </c>
      <c r="H39" s="14" t="s">
        <v>61</v>
      </c>
      <c r="I39" s="15" t="s">
        <v>54</v>
      </c>
      <c r="J39" s="15" t="s">
        <v>214</v>
      </c>
      <c r="K39" s="10"/>
    </row>
    <row r="40" ht="15.0" customHeight="1">
      <c r="A40" s="13" t="s">
        <v>222</v>
      </c>
      <c r="B40" s="14" t="s">
        <v>201</v>
      </c>
      <c r="C40" s="14" t="s">
        <v>223</v>
      </c>
      <c r="D40" s="14" t="s">
        <v>224</v>
      </c>
      <c r="E40" s="14" t="s">
        <v>225</v>
      </c>
      <c r="F40" s="11" t="s">
        <v>50</v>
      </c>
      <c r="G40" s="10" t="s">
        <v>44</v>
      </c>
      <c r="H40" s="14" t="s">
        <v>94</v>
      </c>
      <c r="I40" s="15" t="s">
        <v>54</v>
      </c>
      <c r="J40" s="15" t="s">
        <v>214</v>
      </c>
      <c r="K40" s="10"/>
    </row>
    <row r="41" ht="23.25" customHeight="1">
      <c r="A41" s="13" t="s">
        <v>226</v>
      </c>
      <c r="B41" s="14" t="s">
        <v>227</v>
      </c>
      <c r="C41" s="14" t="s">
        <v>228</v>
      </c>
      <c r="D41" s="14" t="s">
        <v>229</v>
      </c>
      <c r="E41" s="14" t="s">
        <v>230</v>
      </c>
      <c r="F41" s="11" t="s">
        <v>50</v>
      </c>
      <c r="G41" s="10" t="s">
        <v>44</v>
      </c>
      <c r="H41" s="14" t="s">
        <v>199</v>
      </c>
      <c r="I41" s="15" t="s">
        <v>54</v>
      </c>
      <c r="J41" s="15" t="s">
        <v>231</v>
      </c>
      <c r="K41" s="10"/>
    </row>
    <row r="42" ht="23.25" customHeight="1">
      <c r="A42" s="13" t="s">
        <v>232</v>
      </c>
      <c r="B42" s="14" t="s">
        <v>227</v>
      </c>
      <c r="C42" s="14" t="s">
        <v>233</v>
      </c>
      <c r="D42" s="14" t="s">
        <v>234</v>
      </c>
      <c r="E42" s="14" t="s">
        <v>235</v>
      </c>
      <c r="F42" s="11" t="s">
        <v>50</v>
      </c>
      <c r="G42" s="10" t="s">
        <v>44</v>
      </c>
      <c r="H42" s="14" t="s">
        <v>199</v>
      </c>
      <c r="I42" s="15" t="s">
        <v>54</v>
      </c>
      <c r="J42" s="15" t="s">
        <v>236</v>
      </c>
      <c r="K42" s="10"/>
    </row>
    <row r="43" ht="15.0" customHeight="1">
      <c r="A43" s="13" t="s">
        <v>237</v>
      </c>
      <c r="B43" s="14" t="s">
        <v>227</v>
      </c>
      <c r="C43" s="14" t="s">
        <v>238</v>
      </c>
      <c r="D43" s="14" t="s">
        <v>239</v>
      </c>
      <c r="E43" s="14" t="s">
        <v>240</v>
      </c>
      <c r="F43" s="11" t="s">
        <v>50</v>
      </c>
      <c r="G43" s="10" t="s">
        <v>44</v>
      </c>
      <c r="H43" s="14" t="s">
        <v>199</v>
      </c>
      <c r="I43" s="15" t="s">
        <v>54</v>
      </c>
      <c r="J43" s="15" t="s">
        <v>236</v>
      </c>
      <c r="K43" s="10"/>
    </row>
    <row r="44" ht="23.25" customHeight="1">
      <c r="A44" s="13" t="s">
        <v>241</v>
      </c>
      <c r="B44" s="14" t="s">
        <v>201</v>
      </c>
      <c r="C44" s="14" t="s">
        <v>242</v>
      </c>
      <c r="D44" s="14" t="s">
        <v>243</v>
      </c>
      <c r="E44" s="14" t="s">
        <v>244</v>
      </c>
      <c r="F44" s="11" t="s">
        <v>50</v>
      </c>
      <c r="G44" s="10" t="s">
        <v>44</v>
      </c>
      <c r="H44" s="14" t="s">
        <v>189</v>
      </c>
      <c r="I44" s="15" t="s">
        <v>190</v>
      </c>
      <c r="J44" s="15" t="s">
        <v>245</v>
      </c>
      <c r="K44" s="10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autoFilter ref="$A$1:$K$44"/>
  <conditionalFormatting sqref="G2:G44">
    <cfRule type="cellIs" dxfId="0" priority="1" operator="equal">
      <formula>"Pass"</formula>
    </cfRule>
  </conditionalFormatting>
  <conditionalFormatting sqref="G2:G44">
    <cfRule type="cellIs" dxfId="1" priority="2" operator="equal">
      <formula>"Fail"</formula>
    </cfRule>
  </conditionalFormatting>
  <conditionalFormatting sqref="G2:G44">
    <cfRule type="cellIs" dxfId="2" priority="3" operator="equal">
      <formula>"Not Run"</formula>
    </cfRule>
  </conditionalFormatting>
  <dataValidations>
    <dataValidation type="list" allowBlank="1" sqref="G2:G44">
      <formula1>"Not Run,Pass,Fail"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0"/>
    <col customWidth="1" min="2" max="2" width="44.0"/>
    <col customWidth="1" min="3" max="3" width="14.0"/>
    <col customWidth="1" min="4" max="4" width="52.0"/>
    <col customWidth="1" min="5" max="6" width="11.0"/>
    <col customWidth="1" min="7" max="7" width="13.0"/>
    <col customWidth="1" min="8" max="8" width="44.0"/>
    <col customWidth="1" min="9" max="9" width="16.0"/>
    <col customWidth="1" min="10" max="26" width="8.71"/>
  </cols>
  <sheetData>
    <row r="1" ht="27.75" customHeight="1">
      <c r="A1" s="6" t="s">
        <v>3</v>
      </c>
      <c r="B1" s="6" t="s">
        <v>8</v>
      </c>
      <c r="C1" s="6" t="s">
        <v>9</v>
      </c>
      <c r="D1" s="6" t="s">
        <v>11</v>
      </c>
      <c r="E1" s="6" t="s">
        <v>13</v>
      </c>
      <c r="F1" s="6" t="s">
        <v>15</v>
      </c>
      <c r="G1" s="6" t="s">
        <v>17</v>
      </c>
      <c r="H1" s="6" t="s">
        <v>19</v>
      </c>
      <c r="I1" s="6" t="s">
        <v>22</v>
      </c>
    </row>
    <row r="2" ht="15.0" customHeight="1">
      <c r="A2" s="10"/>
      <c r="B2" s="11"/>
      <c r="C2" s="10"/>
      <c r="D2" s="11"/>
      <c r="E2" s="10"/>
      <c r="F2" s="10"/>
      <c r="G2" s="10"/>
      <c r="H2" s="11"/>
      <c r="I2" s="10"/>
    </row>
    <row r="3" ht="15.0" customHeight="1">
      <c r="A3" s="10"/>
      <c r="B3" s="11"/>
      <c r="C3" s="10"/>
      <c r="D3" s="11"/>
      <c r="E3" s="10"/>
      <c r="F3" s="10"/>
      <c r="G3" s="10"/>
      <c r="H3" s="11"/>
      <c r="I3" s="10"/>
    </row>
    <row r="4" ht="15.0" customHeight="1">
      <c r="A4" s="10"/>
      <c r="B4" s="11"/>
      <c r="C4" s="10"/>
      <c r="D4" s="11"/>
      <c r="E4" s="10"/>
      <c r="F4" s="10"/>
      <c r="G4" s="10"/>
      <c r="H4" s="11"/>
      <c r="I4" s="10"/>
    </row>
    <row r="5" ht="15.0" customHeight="1">
      <c r="A5" s="10"/>
      <c r="B5" s="11"/>
      <c r="C5" s="10"/>
      <c r="D5" s="11"/>
      <c r="E5" s="10"/>
      <c r="F5" s="10"/>
      <c r="G5" s="10"/>
      <c r="H5" s="11"/>
      <c r="I5" s="10"/>
    </row>
    <row r="6" ht="15.0" customHeight="1">
      <c r="A6" s="10"/>
      <c r="B6" s="11"/>
      <c r="C6" s="10"/>
      <c r="D6" s="11"/>
      <c r="E6" s="10"/>
      <c r="F6" s="10"/>
      <c r="G6" s="10"/>
      <c r="H6" s="11"/>
      <c r="I6" s="10"/>
    </row>
    <row r="7" ht="15.0" customHeight="1">
      <c r="A7" s="10"/>
      <c r="B7" s="11"/>
      <c r="C7" s="10"/>
      <c r="D7" s="11"/>
      <c r="E7" s="10"/>
      <c r="F7" s="10"/>
      <c r="G7" s="10"/>
      <c r="H7" s="11"/>
      <c r="I7" s="10"/>
    </row>
    <row r="8" ht="15.0" customHeight="1">
      <c r="A8" s="10"/>
      <c r="B8" s="11"/>
      <c r="C8" s="10"/>
      <c r="D8" s="11"/>
      <c r="E8" s="10"/>
      <c r="F8" s="10"/>
      <c r="G8" s="10"/>
      <c r="H8" s="11"/>
      <c r="I8" s="10"/>
    </row>
    <row r="9" ht="15.0" customHeight="1">
      <c r="A9" s="10"/>
      <c r="B9" s="11"/>
      <c r="C9" s="10"/>
      <c r="D9" s="11"/>
      <c r="E9" s="10"/>
      <c r="F9" s="10"/>
      <c r="G9" s="10"/>
      <c r="H9" s="11"/>
      <c r="I9" s="10"/>
    </row>
    <row r="10" ht="15.0" customHeight="1">
      <c r="A10" s="10"/>
      <c r="B10" s="11"/>
      <c r="C10" s="10"/>
      <c r="D10" s="11"/>
      <c r="E10" s="10"/>
      <c r="F10" s="10"/>
      <c r="G10" s="10"/>
      <c r="H10" s="11"/>
      <c r="I10" s="10"/>
    </row>
    <row r="11" ht="15.0" customHeight="1">
      <c r="A11" s="10"/>
      <c r="B11" s="11"/>
      <c r="C11" s="10"/>
      <c r="D11" s="11"/>
      <c r="E11" s="10"/>
      <c r="F11" s="10"/>
      <c r="G11" s="10"/>
      <c r="H11" s="11"/>
      <c r="I11" s="10"/>
    </row>
    <row r="12" ht="15.0" customHeight="1">
      <c r="A12" s="10"/>
      <c r="B12" s="11"/>
      <c r="C12" s="10"/>
      <c r="D12" s="11"/>
      <c r="E12" s="10"/>
      <c r="F12" s="10"/>
      <c r="G12" s="10"/>
      <c r="H12" s="11"/>
      <c r="I12" s="10"/>
    </row>
    <row r="13" ht="15.0" customHeight="1">
      <c r="A13" s="10"/>
      <c r="B13" s="11"/>
      <c r="C13" s="10"/>
      <c r="D13" s="11"/>
      <c r="E13" s="10"/>
      <c r="F13" s="10"/>
      <c r="G13" s="10"/>
      <c r="H13" s="11"/>
      <c r="I13" s="10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dataValidations>
    <dataValidation type="list" allowBlank="1" sqref="E2:E13">
      <formula1>"Critical,Major,Minor,Trivial"</formula1>
    </dataValidation>
    <dataValidation type="list" allowBlank="1" sqref="F2:F13">
      <formula1>"High,Medium,Low"</formula1>
    </dataValidation>
    <dataValidation type="list" allowBlank="1" sqref="G2:G13">
      <formula1>"Open,In Progress,Fixed,Closed"</formula1>
    </dataValidation>
    <dataValidation type="list" allowBlank="1" sqref="I2:I13">
      <formula1>"Pass,Fail,Pending"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5" width="14.0"/>
    <col customWidth="1" min="6" max="26" width="8.71"/>
  </cols>
  <sheetData>
    <row r="1" ht="17.25" customHeight="1">
      <c r="A1" s="1" t="s">
        <v>2</v>
      </c>
      <c r="B1" s="2"/>
      <c r="C1" s="2"/>
      <c r="D1" s="2"/>
      <c r="E1" s="2"/>
    </row>
    <row r="2">
      <c r="A2" s="2"/>
      <c r="B2" s="2"/>
      <c r="C2" s="2"/>
      <c r="D2" s="2"/>
      <c r="E2" s="2"/>
    </row>
    <row r="3" ht="15.0" customHeight="1">
      <c r="A3" s="8" t="s">
        <v>6</v>
      </c>
      <c r="B3" s="15">
        <f>COUNTA('Test Cases'!$A$2:$A$200)</f>
        <v>43</v>
      </c>
      <c r="C3" s="2"/>
      <c r="D3" s="2"/>
      <c r="E3" s="2"/>
    </row>
    <row r="4" ht="15.0" customHeight="1">
      <c r="A4" s="8" t="s">
        <v>68</v>
      </c>
      <c r="B4" s="15">
        <f>COUNTIF('Test Cases'!$G$2:$G$200,"Pass")</f>
        <v>43</v>
      </c>
      <c r="C4" s="2"/>
      <c r="D4" s="2"/>
      <c r="E4" s="2"/>
    </row>
    <row r="5" ht="15.0" customHeight="1">
      <c r="A5" s="8" t="s">
        <v>78</v>
      </c>
      <c r="B5" s="15">
        <f>COUNTIF('Test Cases'!$G$2:$G$200,"Fail")</f>
        <v>0</v>
      </c>
      <c r="C5" s="2"/>
      <c r="D5" s="2"/>
      <c r="E5" s="2"/>
    </row>
    <row r="6" ht="15.0" customHeight="1">
      <c r="A6" s="8" t="s">
        <v>86</v>
      </c>
      <c r="B6" s="15">
        <f>COUNTIF('Test Cases'!$G$2:$G$200,"Not Run")</f>
        <v>0</v>
      </c>
      <c r="C6" s="2"/>
      <c r="D6" s="2"/>
      <c r="E6" s="2"/>
    </row>
    <row r="7" ht="15.0" customHeight="1">
      <c r="A7" s="8" t="s">
        <v>95</v>
      </c>
      <c r="B7" s="18">
        <f>IF(B4+B5=0,0,B4/(B4+B5))</f>
        <v>1</v>
      </c>
      <c r="C7" s="2"/>
      <c r="D7" s="2"/>
      <c r="E7" s="2"/>
    </row>
    <row r="8" ht="15.0" customHeight="1">
      <c r="A8" s="8" t="s">
        <v>114</v>
      </c>
      <c r="B8" s="15">
        <f>COUNTA('Bug Log'!$A$2:$A$13)</f>
        <v>0</v>
      </c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 ht="15.0" customHeight="1">
      <c r="A11" s="6" t="s">
        <v>32</v>
      </c>
      <c r="B11" s="6" t="s">
        <v>132</v>
      </c>
      <c r="C11" s="6" t="s">
        <v>44</v>
      </c>
      <c r="D11" s="6" t="s">
        <v>133</v>
      </c>
      <c r="E11" s="2"/>
    </row>
    <row r="12" ht="15.0" customHeight="1">
      <c r="A12" s="14" t="s">
        <v>69</v>
      </c>
      <c r="B12" s="15">
        <f>COUNTIF('Test Cases'!$H$2:$H$200,A12)</f>
        <v>11</v>
      </c>
      <c r="C12" s="15">
        <f>COUNTIFS('Test Cases'!$H$2:$H$200,A12,'Test Cases'!$G$2:$G$200,"Pass")</f>
        <v>11</v>
      </c>
      <c r="D12" s="15">
        <f>COUNTIFS('Test Cases'!$H$2:$H$200,A12,'Test Cases'!$G$2:$G$200,"Fail")</f>
        <v>0</v>
      </c>
      <c r="E12" s="2"/>
    </row>
    <row r="13" ht="15.0" customHeight="1">
      <c r="A13" s="14" t="s">
        <v>53</v>
      </c>
      <c r="B13" s="15">
        <f>COUNTIF('Test Cases'!$H$2:$H$200,A13)</f>
        <v>16</v>
      </c>
      <c r="C13" s="15">
        <f>COUNTIFS('Test Cases'!$H$2:$H$200,A13,'Test Cases'!$G$2:$G$200,"Pass")</f>
        <v>16</v>
      </c>
      <c r="D13" s="15">
        <f>COUNTIFS('Test Cases'!$H$2:$H$200,A13,'Test Cases'!$G$2:$G$200,"Fail")</f>
        <v>0</v>
      </c>
      <c r="E13" s="2"/>
    </row>
    <row r="14" ht="15.0" customHeight="1">
      <c r="A14" s="14" t="s">
        <v>61</v>
      </c>
      <c r="B14" s="15">
        <f>COUNTIF('Test Cases'!$H$2:$H$200,A14)</f>
        <v>5</v>
      </c>
      <c r="C14" s="15">
        <f>COUNTIFS('Test Cases'!$H$2:$H$200,A14,'Test Cases'!$G$2:$G$200,"Pass")</f>
        <v>5</v>
      </c>
      <c r="D14" s="15">
        <f>COUNTIFS('Test Cases'!$H$2:$H$200,A14,'Test Cases'!$G$2:$G$200,"Fail")</f>
        <v>0</v>
      </c>
      <c r="E14" s="2"/>
    </row>
    <row r="15" ht="15.0" customHeight="1">
      <c r="A15" s="14" t="s">
        <v>94</v>
      </c>
      <c r="B15" s="15">
        <f>COUNTIF('Test Cases'!$H$2:$H$200,A15)</f>
        <v>4</v>
      </c>
      <c r="C15" s="15">
        <f>COUNTIFS('Test Cases'!$H$2:$H$200,A15,'Test Cases'!$G$2:$G$200,"Pass")</f>
        <v>4</v>
      </c>
      <c r="D15" s="15">
        <f>COUNTIFS('Test Cases'!$H$2:$H$200,A15,'Test Cases'!$G$2:$G$200,"Fail")</f>
        <v>0</v>
      </c>
      <c r="E15" s="2"/>
    </row>
    <row r="16" ht="15.0" customHeight="1">
      <c r="A16" s="14" t="s">
        <v>199</v>
      </c>
      <c r="B16" s="15">
        <f>COUNTIF('Test Cases'!$H$2:$H$200,A16)</f>
        <v>5</v>
      </c>
      <c r="C16" s="15">
        <f>COUNTIFS('Test Cases'!$H$2:$H$200,A16,'Test Cases'!$G$2:$G$200,"Pass")</f>
        <v>5</v>
      </c>
      <c r="D16" s="15">
        <f>COUNTIFS('Test Cases'!$H$2:$H$200,A16,'Test Cases'!$G$2:$G$200,"Fail")</f>
        <v>0</v>
      </c>
      <c r="E16" s="2"/>
    </row>
    <row r="17" ht="15.0" customHeight="1">
      <c r="A17" s="14" t="s">
        <v>189</v>
      </c>
      <c r="B17" s="15">
        <f>COUNTIF('Test Cases'!$H$2:$H$200,A17)</f>
        <v>2</v>
      </c>
      <c r="C17" s="15">
        <f>COUNTIFS('Test Cases'!$H$2:$H$200,A17,'Test Cases'!$G$2:$G$200,"Pass")</f>
        <v>2</v>
      </c>
      <c r="D17" s="15">
        <f>COUNTIFS('Test Cases'!$H$2:$H$200,A17,'Test Cases'!$G$2:$G$200,"Fail")</f>
        <v>0</v>
      </c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 ht="15.0" customHeight="1">
      <c r="A20" s="6" t="s">
        <v>33</v>
      </c>
      <c r="B20" s="6" t="s">
        <v>132</v>
      </c>
      <c r="C20" s="6" t="s">
        <v>44</v>
      </c>
      <c r="D20" s="6" t="s">
        <v>133</v>
      </c>
      <c r="E20" s="2"/>
    </row>
    <row r="21" ht="15.0" customHeight="1">
      <c r="A21" s="14" t="s">
        <v>62</v>
      </c>
      <c r="B21" s="15">
        <f>COUNTIF('Test Cases'!$I$2:$I$200,A21)</f>
        <v>29</v>
      </c>
      <c r="C21" s="15">
        <f>COUNTIFS('Test Cases'!$I$2:$I$200,A21,'Test Cases'!$G$2:$G$200,"Pass")</f>
        <v>29</v>
      </c>
      <c r="D21" s="15">
        <f>COUNTIFS('Test Cases'!$I$2:$I$200,A21,'Test Cases'!$G$2:$G$200,"Fail")</f>
        <v>0</v>
      </c>
      <c r="E21" s="2"/>
    </row>
    <row r="22" ht="15.0" customHeight="1">
      <c r="A22" s="14" t="s">
        <v>54</v>
      </c>
      <c r="B22" s="15">
        <f>COUNTIF('Test Cases'!$I$2:$I$200,A22)</f>
        <v>10</v>
      </c>
      <c r="C22" s="15">
        <f>COUNTIFS('Test Cases'!$I$2:$I$200,A22,'Test Cases'!$G$2:$G$200,"Pass")</f>
        <v>10</v>
      </c>
      <c r="D22" s="15">
        <f>COUNTIFS('Test Cases'!$I$2:$I$200,A22,'Test Cases'!$G$2:$G$200,"Fail")</f>
        <v>0</v>
      </c>
      <c r="E22" s="2"/>
    </row>
    <row r="23" ht="15.0" customHeight="1">
      <c r="A23" s="14" t="s">
        <v>190</v>
      </c>
      <c r="B23" s="15">
        <f>COUNTIF('Test Cases'!$I$2:$I$200,A23)</f>
        <v>4</v>
      </c>
      <c r="C23" s="15">
        <f>COUNTIFS('Test Cases'!$I$2:$I$200,A23,'Test Cases'!$G$2:$G$200,"Pass")</f>
        <v>4</v>
      </c>
      <c r="D23" s="15">
        <f>COUNTIFS('Test Cases'!$I$2:$I$200,A23,'Test Cases'!$G$2:$G$200,"Fail")</f>
        <v>0</v>
      </c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1.0" footer="0.0" header="0.0" left="0.75" right="0.75" top="1.0"/>
  <pageSetup paperSize="9" orientation="portrait"/>
  <drawing r:id="rId1"/>
</worksheet>
</file>