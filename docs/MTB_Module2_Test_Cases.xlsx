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est Cases" sheetId="2" state="visible" r:id="rId4"/>
    <sheet name="Bug Log" sheetId="3" state="visible" r:id="rId5"/>
    <sheet name="Summary" sheetId="4" state="visible" r:id="rId6"/>
  </sheets>
  <definedNames>
    <definedName function="false" hidden="true" localSheetId="1" name="_xlnm._FilterDatabase" vbProcedure="false">'Test Cases'!$A$1:$K$43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<sst xmlns="http://schemas.openxmlformats.org/spreadsheetml/2006/main" count="443" uniqueCount="229">
  <si>
    <t xml:space="preserve">Movie Ticket Booking System: Module 2 Test Cases</t>
  </si>
  <si>
    <t xml:space="preserve">Module 2: Seat Selection &amp; Booking  |  Author: Sriram Iyer  |  JIRA project key: MTB</t>
  </si>
  <si>
    <t xml:space="preserve">How to use</t>
  </si>
  <si>
    <t xml:space="preserve">Step 1</t>
  </si>
  <si>
    <t xml:space="preserve">Run the automatic tests in the project folder:  python -m pytest tests/test_module2.py -v</t>
  </si>
  <si>
    <t xml:space="preserve">Step 2</t>
  </si>
  <si>
    <t xml:space="preserve">Each line of the output ends with PASSED or FAILED next to its Test Case ID (M2_TC01 to M2_TC42).</t>
  </si>
  <si>
    <t xml:space="preserve">Step 3</t>
  </si>
  <si>
    <t xml:space="preserve">In the 'Test Cases' sheet fill the yellow cells: Actual Result, Status and Bug ID (if the test failed).</t>
  </si>
  <si>
    <t xml:space="preserve">Step 4</t>
  </si>
  <si>
    <t xml:space="preserve">For every FAILED test create a Bug in JIRA, then copy its details into the 'Bug Log' sheet.</t>
  </si>
  <si>
    <t xml:space="preserve">Step 5</t>
  </si>
  <si>
    <t xml:space="preserve">After the bug is fixed, run the tests again and update the Status to Pass. Keep the first failed run as evidence.</t>
  </si>
  <si>
    <t xml:space="preserve">Colour legend</t>
  </si>
  <si>
    <t xml:space="preserve">Yellow cell</t>
  </si>
  <si>
    <t xml:space="preserve">You fill this cell (Actual Result, Status, Bug ID, and the Bug Log entries).</t>
  </si>
  <si>
    <t xml:space="preserve">White cell</t>
  </si>
  <si>
    <t xml:space="preserve">Prepared in advance. Expected results come from requirements FR9 to FR16 in JIRA task MTB-3.</t>
  </si>
  <si>
    <t xml:space="preserve">Status colours</t>
  </si>
  <si>
    <t xml:space="preserve">Pass = green, Fail = red, Not Run = grey (automatic).</t>
  </si>
  <si>
    <t xml:space="preserve">Assumptions</t>
  </si>
  <si>
    <t xml:space="preserve">Hall layout: rows A to E with 8 seats each (40 seats). Show 1 costs Rs. 200 per seat and show 2 costs Rs. 250 per seat. Test Level: Unit = seat validation function, Functional = routes and pages, Integration = routes with database.</t>
  </si>
  <si>
    <t xml:space="preserve">Test Case ID</t>
  </si>
  <si>
    <t xml:space="preserve">Module</t>
  </si>
  <si>
    <t xml:space="preserve">Test Scenario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</si>
  <si>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</si>
  <si>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</si>
  <si>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</si>
  <si>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</si>
  <si>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Technique</t>
  </si>
  <si>
    <t xml:space="preserve">Test Level</t>
  </si>
  <si>
    <t xml:space="preserve">Requirement</t>
  </si>
  <si>
    <t xml:space="preserve">Bug ID</t>
  </si>
  <si>
    <t xml:space="preserve">M2_TC01</t>
  </si>
  <si>
    <t xml:space="preserve">Seat Selection</t>
  </si>
  <si>
    <t xml:space="preserve">Submit with no seat selected</t>
  </si>
  <si>
    <t xml:space="preserve">Seats: (none)</t>
  </si>
  <si>
    <t xml:space="preserve">Error 'Select at least 1 seat.' is shown; nothing is saved</t>
  </si>
  <si>
    <t xml:space="preserve">Not Run</t>
  </si>
  <si>
    <t xml:space="preserve">Boundary Value Analysis</t>
  </si>
  <si>
    <t xml:space="preserve">Unit</t>
  </si>
  <si>
    <t xml:space="preserve">FR12</t>
  </si>
  <si>
    <t xml:space="preserve">M2_TC02</t>
  </si>
  <si>
    <t xml:space="preserve">Select 1 seat (minimum)</t>
  </si>
  <si>
    <t xml:space="preserve">Seats: A1</t>
  </si>
  <si>
    <t xml:space="preserve">Selection is accepted</t>
  </si>
  <si>
    <t xml:space="preserve">M2_TC03</t>
  </si>
  <si>
    <t xml:space="preserve">Select 3 seats</t>
  </si>
  <si>
    <t xml:space="preserve">Seats: A1, A2, A3</t>
  </si>
  <si>
    <t xml:space="preserve">Equivalence Partitioning</t>
  </si>
  <si>
    <t xml:space="preserve">M2_TC04</t>
  </si>
  <si>
    <t xml:space="preserve">Select 6 seats (maximum)</t>
  </si>
  <si>
    <t xml:space="preserve">Seats: B1, B2, B3, B4, B5, B6</t>
  </si>
  <si>
    <t xml:space="preserve">M2_TC05</t>
  </si>
  <si>
    <t xml:space="preserve">Select 7 seats (above maximum)</t>
  </si>
  <si>
    <t xml:space="preserve">Seats: B1 to B7</t>
  </si>
  <si>
    <t xml:space="preserve">Error 'You can book a maximum of 6 seats at a time.' is shown</t>
  </si>
  <si>
    <t xml:space="preserve">M2_TC06</t>
  </si>
  <si>
    <t xml:space="preserve">Seat with unknown row</t>
  </si>
  <si>
    <t xml:space="preserve">Seats: Z9</t>
  </si>
  <si>
    <t xml:space="preserve">Error 'Invalid seat selected.' is shown</t>
  </si>
  <si>
    <t xml:space="preserve">FR11</t>
  </si>
  <si>
    <t xml:space="preserve">M2_TC07</t>
  </si>
  <si>
    <t xml:space="preserve">Seat number above the last seat of a row</t>
  </si>
  <si>
    <t xml:space="preserve">Seats: A9</t>
  </si>
  <si>
    <t xml:space="preserve">M2_TC08</t>
  </si>
  <si>
    <t xml:space="preserve">Seat number below the first seat of a row</t>
  </si>
  <si>
    <t xml:space="preserve">Seats: A0</t>
  </si>
  <si>
    <t xml:space="preserve">M2_TC09</t>
  </si>
  <si>
    <t xml:space="preserve">First and last seat of the hall</t>
  </si>
  <si>
    <t xml:space="preserve">Seats: A1, E8</t>
  </si>
  <si>
    <t xml:space="preserve">M2_TC10</t>
  </si>
  <si>
    <t xml:space="preserve">Same seat sent twice</t>
  </si>
  <si>
    <t xml:space="preserve">Seats: A1, A1</t>
  </si>
  <si>
    <t xml:space="preserve">Error 'Duplicate seats selected.' is shown</t>
  </si>
  <si>
    <t xml:space="preserve">Error Guessing</t>
  </si>
  <si>
    <t xml:space="preserve">FR13</t>
  </si>
  <si>
    <t xml:space="preserve">M2_TC11</t>
  </si>
  <si>
    <t xml:space="preserve">Seat that is already booked</t>
  </si>
  <si>
    <t xml:space="preserve">Seats: C3 (C3 already booked)</t>
  </si>
  <si>
    <t xml:space="preserve">Error 'Seat(s) already booked: C3.' is shown</t>
  </si>
  <si>
    <t xml:space="preserve">M2_TC12</t>
  </si>
  <si>
    <t xml:space="preserve">Seat label in lowercase</t>
  </si>
  <si>
    <t xml:space="preserve">Seats: a1</t>
  </si>
  <si>
    <t xml:space="preserve">M2_TC13</t>
  </si>
  <si>
    <t xml:space="preserve">Empty seat label</t>
  </si>
  <si>
    <t xml:space="preserve">Seats: (empty text)</t>
  </si>
  <si>
    <t xml:space="preserve">M2_TC14</t>
  </si>
  <si>
    <t xml:space="preserve">One free seat and one booked seat</t>
  </si>
  <si>
    <t xml:space="preserve">Seats: D1, D2 (D2 already booked)</t>
  </si>
  <si>
    <t xml:space="preserve">Error 'Seat(s) already booked: D2.' is shown</t>
  </si>
  <si>
    <t xml:space="preserve">M2_TC15</t>
  </si>
  <si>
    <t xml:space="preserve">Movies</t>
  </si>
  <si>
    <t xml:space="preserve">Open movies page without login</t>
  </si>
  <si>
    <t xml:space="preserve">URL: /movies (logged out)</t>
  </si>
  <si>
    <t xml:space="preserve">User is redirected to the login page</t>
  </si>
  <si>
    <t xml:space="preserve">Functional Testing</t>
  </si>
  <si>
    <t xml:space="preserve">Functional</t>
  </si>
  <si>
    <t xml:space="preserve">FR9</t>
  </si>
  <si>
    <t xml:space="preserve">M2_TC16</t>
  </si>
  <si>
    <t xml:space="preserve">Open movies page after login</t>
  </si>
  <si>
    <t xml:space="preserve">Logged in user, URL: /movies</t>
  </si>
  <si>
    <t xml:space="preserve">All 3 movies and their 12 shows are listed</t>
  </si>
  <si>
    <t xml:space="preserve">FR10</t>
  </si>
  <si>
    <t xml:space="preserve">M2_TC17</t>
  </si>
  <si>
    <t xml:space="preserve">Open seat page without login</t>
  </si>
  <si>
    <t xml:space="preserve">URL: /shows/1/seats (logged out)</t>
  </si>
  <si>
    <t xml:space="preserve">M2_TC18</t>
  </si>
  <si>
    <t xml:space="preserve">Seat page of a show with no bookings</t>
  </si>
  <si>
    <t xml:space="preserve">Logged in user, URL: /shows/1/seats</t>
  </si>
  <si>
    <t xml:space="preserve">40 seats (rows A to E, 8 seats each) are shown and all are selectable</t>
  </si>
  <si>
    <t xml:space="preserve">M2_TC19</t>
  </si>
  <si>
    <t xml:space="preserve">Seat page after two seats are booked</t>
  </si>
  <si>
    <t xml:space="preserve">Book A1 and A2, then open /shows/1/seats</t>
  </si>
  <si>
    <t xml:space="preserve">A1 and A2 are shown as booked and cannot be selected; 38 seats are selectable</t>
  </si>
  <si>
    <t xml:space="preserve">M2_TC20</t>
  </si>
  <si>
    <t xml:space="preserve">Booking</t>
  </si>
  <si>
    <t xml:space="preserve">Book two valid seats</t>
  </si>
  <si>
    <t xml:space="preserve">Show 1, Seats: A1, A2</t>
  </si>
  <si>
    <t xml:space="preserve">Booking is saved and the user is redirected to the confirmation page</t>
  </si>
  <si>
    <t xml:space="preserve">FR15</t>
  </si>
  <si>
    <t xml:space="preserve">M2_TC21</t>
  </si>
  <si>
    <t xml:space="preserve">Total price for three seats</t>
  </si>
  <si>
    <t xml:space="preserve">Show 1 (Rs. 200 per seat), Seats: A1, A2, A3</t>
  </si>
  <si>
    <t xml:space="preserve">Confirmation shows total Rs. 600</t>
  </si>
  <si>
    <t xml:space="preserve">FR14</t>
  </si>
  <si>
    <t xml:space="preserve">M2_TC22</t>
  </si>
  <si>
    <t xml:space="preserve">Total price uses the price of the chosen show</t>
  </si>
  <si>
    <t xml:space="preserve">Show 2 (Rs. 250 per seat), Seats: A1, A2</t>
  </si>
  <si>
    <t xml:space="preserve">Confirmation shows total Rs. 500</t>
  </si>
  <si>
    <t xml:space="preserve">M2_TC23</t>
  </si>
  <si>
    <t xml:space="preserve">Confirmation page content</t>
  </si>
  <si>
    <t xml:space="preserve">Show 1, Seats: C4, C5</t>
  </si>
  <si>
    <t xml:space="preserve">Confirmation shows booking ID, movie name and seats C4, C5</t>
  </si>
  <si>
    <t xml:space="preserve">M2_TC24</t>
  </si>
  <si>
    <t xml:space="preserve">Second user books a seat already taken by another user</t>
  </si>
  <si>
    <t xml:space="preserve">User A books A1, then User B books A1</t>
  </si>
  <si>
    <t xml:space="preserve">User B gets 'already booked' error; only one record exists for A1</t>
  </si>
  <si>
    <t xml:space="preserve">Integration Testing</t>
  </si>
  <si>
    <t xml:space="preserve">Integration</t>
  </si>
  <si>
    <t xml:space="preserve">M2_TC25</t>
  </si>
  <si>
    <t xml:space="preserve">Same user books the same seat again</t>
  </si>
  <si>
    <t xml:space="preserve">User A books A1 twice</t>
  </si>
  <si>
    <t xml:space="preserve">Second attempt shows 'already booked' error; only one booking exists</t>
  </si>
  <si>
    <t xml:space="preserve">M2_TC26</t>
  </si>
  <si>
    <t xml:space="preserve">Database blocks double booking without partial save</t>
  </si>
  <si>
    <t xml:space="preserve">Seat A2 booked; then create booking for A2 and A3</t>
  </si>
  <si>
    <t xml:space="preserve">Second booking is refused and seat A3 is not saved</t>
  </si>
  <si>
    <t xml:space="preserve">M2_TC27</t>
  </si>
  <si>
    <t xml:space="preserve">Booking request with 7 seats</t>
  </si>
  <si>
    <t xml:space="preserve">Show 1, Seats: A1 to A7</t>
  </si>
  <si>
    <t xml:space="preserve">Error 'maximum of 6 seats' is shown and nothing is saved</t>
  </si>
  <si>
    <t xml:space="preserve">M2_TC28</t>
  </si>
  <si>
    <t xml:space="preserve">Booking request with 6 seats</t>
  </si>
  <si>
    <t xml:space="preserve">Show 1, Seats: A1 to A6</t>
  </si>
  <si>
    <t xml:space="preserve">Booking is accepted and 6 seats are saved</t>
  </si>
  <si>
    <t xml:space="preserve">M2_TC29</t>
  </si>
  <si>
    <t xml:space="preserve">Seats left count after a booking</t>
  </si>
  <si>
    <t xml:space="preserve">Book 2 seats of show 1, open /movies</t>
  </si>
  <si>
    <t xml:space="preserve">Show 1 displays '38 seats left'</t>
  </si>
  <si>
    <t xml:space="preserve">M2_TC30</t>
  </si>
  <si>
    <t xml:space="preserve">Fully booked show</t>
  </si>
  <si>
    <t xml:space="preserve">All 40 seats of show 1 booked</t>
  </si>
  <si>
    <t xml:space="preserve">Show is marked 'Sold out' and any new booking for it is rejected</t>
  </si>
  <si>
    <t xml:space="preserve">M2_TC31</t>
  </si>
  <si>
    <t xml:space="preserve">Seat page of a show that does not exist</t>
  </si>
  <si>
    <t xml:space="preserve">URL: /shows/999/seats</t>
  </si>
  <si>
    <t xml:space="preserve">404 page is shown</t>
  </si>
  <si>
    <t xml:space="preserve">M2_TC32</t>
  </si>
  <si>
    <t xml:space="preserve">Booking for a show that does not exist</t>
  </si>
  <si>
    <t xml:space="preserve">POST /shows/999/book, Seats: A1</t>
  </si>
  <si>
    <t xml:space="preserve">M2_TC33</t>
  </si>
  <si>
    <t xml:space="preserve">My Bookings</t>
  </si>
  <si>
    <t xml:space="preserve">Open My Bookings without login</t>
  </si>
  <si>
    <t xml:space="preserve">URL: /bookings (logged out)</t>
  </si>
  <si>
    <t xml:space="preserve">FR16</t>
  </si>
  <si>
    <t xml:space="preserve">M2_TC34</t>
  </si>
  <si>
    <t xml:space="preserve">My Bookings shows only own bookings</t>
  </si>
  <si>
    <t xml:space="preserve">User A books A1, User B books B1 and B2</t>
  </si>
  <si>
    <t xml:space="preserve">User A sees only A1; B1, B2 are not visible</t>
  </si>
  <si>
    <t xml:space="preserve">M2_TC35</t>
  </si>
  <si>
    <t xml:space="preserve">My Bookings for a user without bookings</t>
  </si>
  <si>
    <t xml:space="preserve">New user opens /bookings</t>
  </si>
  <si>
    <t xml:space="preserve">Message 'You have no bookings yet.' is shown</t>
  </si>
  <si>
    <t xml:space="preserve">M2_TC36</t>
  </si>
  <si>
    <t xml:space="preserve">My Bookings shows booking details</t>
  </si>
  <si>
    <t xml:space="preserve">Book A1, A2 of show 1, open /bookings</t>
  </si>
  <si>
    <t xml:space="preserve">Movie name, seats A1, A2 and total Rs. 400 are shown</t>
  </si>
  <si>
    <t xml:space="preserve">M2_TC37</t>
  </si>
  <si>
    <t xml:space="preserve">Open confirmation of another user's booking</t>
  </si>
  <si>
    <t xml:space="preserve">User B opens /bookings/1/confirmation of User A</t>
  </si>
  <si>
    <t xml:space="preserve">M2_TC38</t>
  </si>
  <si>
    <t xml:space="preserve">End to end: login, browse, book, confirm, list</t>
  </si>
  <si>
    <t xml:space="preserve">Login, open movies, open seats, book D4 and D5, open My Bookings</t>
  </si>
  <si>
    <t xml:space="preserve">Booking is confirmed and D4, D5 appear in My Bookings</t>
  </si>
  <si>
    <t xml:space="preserve">FR9 to FR16</t>
  </si>
  <si>
    <t xml:space="preserve">M2_TC39</t>
  </si>
  <si>
    <t xml:space="preserve">Booking request without login</t>
  </si>
  <si>
    <t xml:space="preserve">POST /shows/1/book (logged out), Seats: A1</t>
  </si>
  <si>
    <t xml:space="preserve">User is redirected to login and nothing is saved</t>
  </si>
  <si>
    <t xml:space="preserve">M2_TC40</t>
  </si>
  <si>
    <t xml:space="preserve">SQL injection text in a seat value</t>
  </si>
  <si>
    <t xml:space="preserve">Seats: A1'; DROP TABLE users;--</t>
  </si>
  <si>
    <t xml:space="preserve">Value is rejected, users table is intact and nothing is saved</t>
  </si>
  <si>
    <t xml:space="preserve">M2_TC41</t>
  </si>
  <si>
    <t xml:space="preserve">Show whose date is in the past</t>
  </si>
  <si>
    <t xml:space="preserve">Set the date of show 1 to 2020-01-01, open /movies</t>
  </si>
  <si>
    <t xml:space="preserve">Past show is not listed</t>
  </si>
  <si>
    <t xml:space="preserve">M2_TC42</t>
  </si>
  <si>
    <t xml:space="preserve">Book a show whose date is in the past</t>
  </si>
  <si>
    <t xml:space="preserve">Set the date of show 1 to 2020-01-01, then book A1</t>
  </si>
  <si>
    <t xml:space="preserve">Booking is rejected and nothing is saved</t>
  </si>
  <si>
    <t xml:space="preserve">Bug Description</t>
  </si>
  <si>
    <t xml:space="preserve">Related Test Case</t>
  </si>
  <si>
    <t xml:space="preserve">Steps to Reproduce</t>
  </si>
  <si>
    <t xml:space="preserve">Severity</t>
  </si>
  <si>
    <t xml:space="preserve">Priority</t>
  </si>
  <si>
    <t xml:space="preserve">Resolution</t>
  </si>
  <si>
    <t xml:space="preserve">Retest Result</t>
  </si>
  <si>
    <t xml:space="preserve">Test Execution Summary: Module 2</t>
  </si>
  <si>
    <t xml:space="preserve">Total test cases</t>
  </si>
  <si>
    <t xml:space="preserve">Passed</t>
  </si>
  <si>
    <t xml:space="preserve">Failed</t>
  </si>
  <si>
    <t xml:space="preserve">Not run yet</t>
  </si>
  <si>
    <t xml:space="preserve">Pass percentage (of executed)</t>
  </si>
  <si>
    <t xml:space="preserve">Bugs logged</t>
  </si>
  <si>
    <t xml:space="preserve">Total</t>
  </si>
  <si>
    <t xml:space="preserve">Pass</t>
  </si>
  <si>
    <t xml:space="preserve">Fail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</si>
</sst>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9C4"/>
        <bgColor rgb="FFFFFF99"/>
      </patternFill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595959"/>
      </font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4" t="s">
        <v>6</v>
      </c>
    </row>
    <row r="7" customFormat="false" ht="15" hidden="false" customHeight="false" outlineLevel="0" collapsed="false">
      <c r="A7" s="5" t="s">
        <v>7</v>
      </c>
      <c r="B7" s="4" t="s">
        <v>8</v>
      </c>
    </row>
    <row r="8" customFormat="false" ht="15" hidden="false" customHeight="false" outlineLevel="0" collapsed="false">
      <c r="A8" s="5" t="s">
        <v>9</v>
      </c>
      <c r="B8" s="4" t="s">
        <v>10</v>
      </c>
    </row>
    <row r="9" customFormat="false" ht="15" hidden="false" customHeight="false" outlineLevel="0" collapsed="false">
      <c r="A9" s="5" t="s">
        <v>11</v>
      </c>
      <c r="B9" s="4" t="s">
        <v>12</v>
      </c>
    </row>
    <row r="10" customFormat="false" ht="15" hidden="false" customHeight="false" outlineLevel="0" collapsed="false">
      <c r="A10" s="6"/>
      <c r="B10" s="4"/>
    </row>
    <row r="11" customFormat="false" ht="15" hidden="false" customHeight="false" outlineLevel="0" collapsed="false">
      <c r="A11" s="3" t="s">
        <v>13</v>
      </c>
      <c r="B11" s="4"/>
    </row>
    <row r="12" customFormat="false" ht="15" hidden="false" customHeight="false" outlineLevel="0" collapsed="false">
      <c r="A12" s="7" t="s">
        <v>14</v>
      </c>
      <c r="B12" s="4" t="s">
        <v>15</v>
      </c>
    </row>
    <row r="13" customFormat="false" ht="15" hidden="false" customHeight="false" outlineLevel="0" collapsed="false">
      <c r="A13" s="6" t="s">
        <v>16</v>
      </c>
      <c r="B13" s="4" t="s">
        <v>17</v>
      </c>
    </row>
    <row r="14" customFormat="false" ht="15" hidden="false" customHeight="false" outlineLevel="0" collapsed="false">
      <c r="A14" s="6" t="s">
        <v>18</v>
      </c>
      <c r="B14" s="4" t="s">
        <v>19</v>
      </c>
    </row>
    <row r="15" customFormat="false" ht="15" hidden="false" customHeight="false" outlineLevel="0" collapsed="false">
      <c r="A15" s="6"/>
      <c r="B15" s="4"/>
    </row>
    <row r="16" customFormat="false" ht="23.85" hidden="false" customHeight="false" outlineLevel="0" collapsed="false">
      <c r="A16" s="6" t="s">
        <v>20</v>
      </c>
      <c r="B16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46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11"/>
    <col collapsed="false" customWidth="true" hidden="false" outlineLevel="0" max="8" min="8" style="0" width="24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2"/>
  </cols>
  <sheetData>
    <row r="1" customFormat="false" ht="27.75" hidden="false" customHeight="true" outlineLevel="0" collapsed="false">
      <c r="A1" s="8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  <c r="I1" s="8" t="s">
        <v>30</v>
      </c>
      <c r="J1" s="8" t="s">
        <v>31</v>
      </c>
      <c r="K1" s="8" t="s">
        <v>32</v>
      </c>
    </row>
    <row r="2" customFormat="false" ht="15" hidden="false" customHeight="false" outlineLevel="0" collapsed="false">
      <c r="A2" s="9" t="s">
        <v>33</v>
      </c>
      <c r="B2" s="10" t="s">
        <v>34</v>
      </c>
      <c r="C2" s="10" t="s">
        <v>35</v>
      </c>
      <c r="D2" s="10" t="s">
        <v>36</v>
      </c>
      <c r="E2" s="10" t="s">
        <v>37</v>
      </c>
      <c r="F2" s="11"/>
      <c r="G2" s="12" t="s">
        <v>38</v>
      </c>
      <c r="H2" s="10" t="s">
        <v>39</v>
      </c>
      <c r="I2" s="13" t="s">
        <v>40</v>
      </c>
      <c r="J2" s="13" t="s">
        <v>41</v>
      </c>
      <c r="K2" s="12"/>
    </row>
    <row r="3" customFormat="false" ht="15" hidden="false" customHeight="false" outlineLevel="0" collapsed="false">
      <c r="A3" s="9" t="s">
        <v>42</v>
      </c>
      <c r="B3" s="10" t="s">
        <v>34</v>
      </c>
      <c r="C3" s="10" t="s">
        <v>43</v>
      </c>
      <c r="D3" s="10" t="s">
        <v>44</v>
      </c>
      <c r="E3" s="10" t="s">
        <v>45</v>
      </c>
      <c r="F3" s="11"/>
      <c r="G3" s="12" t="s">
        <v>38</v>
      </c>
      <c r="H3" s="10" t="s">
        <v>39</v>
      </c>
      <c r="I3" s="13" t="s">
        <v>40</v>
      </c>
      <c r="J3" s="13" t="s">
        <v>41</v>
      </c>
      <c r="K3" s="12"/>
    </row>
    <row r="4" customFormat="false" ht="15" hidden="false" customHeight="false" outlineLevel="0" collapsed="false">
      <c r="A4" s="9" t="s">
        <v>46</v>
      </c>
      <c r="B4" s="10" t="s">
        <v>34</v>
      </c>
      <c r="C4" s="10" t="s">
        <v>47</v>
      </c>
      <c r="D4" s="10" t="s">
        <v>48</v>
      </c>
      <c r="E4" s="10" t="s">
        <v>45</v>
      </c>
      <c r="F4" s="11"/>
      <c r="G4" s="12" t="s">
        <v>38</v>
      </c>
      <c r="H4" s="10" t="s">
        <v>49</v>
      </c>
      <c r="I4" s="13" t="s">
        <v>40</v>
      </c>
      <c r="J4" s="13" t="s">
        <v>41</v>
      </c>
      <c r="K4" s="12"/>
    </row>
    <row r="5" customFormat="false" ht="15" hidden="false" customHeight="false" outlineLevel="0" collapsed="false">
      <c r="A5" s="9" t="s">
        <v>50</v>
      </c>
      <c r="B5" s="10" t="s">
        <v>34</v>
      </c>
      <c r="C5" s="10" t="s">
        <v>51</v>
      </c>
      <c r="D5" s="10" t="s">
        <v>52</v>
      </c>
      <c r="E5" s="10" t="s">
        <v>45</v>
      </c>
      <c r="F5" s="11"/>
      <c r="G5" s="12" t="s">
        <v>38</v>
      </c>
      <c r="H5" s="10" t="s">
        <v>39</v>
      </c>
      <c r="I5" s="13" t="s">
        <v>40</v>
      </c>
      <c r="J5" s="13" t="s">
        <v>41</v>
      </c>
      <c r="K5" s="12"/>
    </row>
    <row r="6" customFormat="false" ht="15" hidden="false" customHeight="false" outlineLevel="0" collapsed="false">
      <c r="A6" s="9" t="s">
        <v>53</v>
      </c>
      <c r="B6" s="10" t="s">
        <v>34</v>
      </c>
      <c r="C6" s="10" t="s">
        <v>54</v>
      </c>
      <c r="D6" s="10" t="s">
        <v>55</v>
      </c>
      <c r="E6" s="10" t="s">
        <v>56</v>
      </c>
      <c r="F6" s="11"/>
      <c r="G6" s="12" t="s">
        <v>38</v>
      </c>
      <c r="H6" s="10" t="s">
        <v>39</v>
      </c>
      <c r="I6" s="13" t="s">
        <v>40</v>
      </c>
      <c r="J6" s="13" t="s">
        <v>41</v>
      </c>
      <c r="K6" s="12"/>
    </row>
    <row r="7" customFormat="false" ht="15" hidden="false" customHeight="false" outlineLevel="0" collapsed="false">
      <c r="A7" s="9" t="s">
        <v>57</v>
      </c>
      <c r="B7" s="10" t="s">
        <v>34</v>
      </c>
      <c r="C7" s="10" t="s">
        <v>58</v>
      </c>
      <c r="D7" s="10" t="s">
        <v>59</v>
      </c>
      <c r="E7" s="10" t="s">
        <v>60</v>
      </c>
      <c r="F7" s="11"/>
      <c r="G7" s="12" t="s">
        <v>38</v>
      </c>
      <c r="H7" s="10" t="s">
        <v>49</v>
      </c>
      <c r="I7" s="13" t="s">
        <v>40</v>
      </c>
      <c r="J7" s="13" t="s">
        <v>61</v>
      </c>
      <c r="K7" s="12"/>
    </row>
    <row r="8" customFormat="false" ht="15" hidden="false" customHeight="false" outlineLevel="0" collapsed="false">
      <c r="A8" s="9" t="s">
        <v>62</v>
      </c>
      <c r="B8" s="10" t="s">
        <v>34</v>
      </c>
      <c r="C8" s="10" t="s">
        <v>63</v>
      </c>
      <c r="D8" s="10" t="s">
        <v>64</v>
      </c>
      <c r="E8" s="10" t="s">
        <v>60</v>
      </c>
      <c r="F8" s="11"/>
      <c r="G8" s="12" t="s">
        <v>38</v>
      </c>
      <c r="H8" s="10" t="s">
        <v>39</v>
      </c>
      <c r="I8" s="13" t="s">
        <v>40</v>
      </c>
      <c r="J8" s="13" t="s">
        <v>61</v>
      </c>
      <c r="K8" s="12"/>
    </row>
    <row r="9" customFormat="false" ht="15" hidden="false" customHeight="false" outlineLevel="0" collapsed="false">
      <c r="A9" s="9" t="s">
        <v>65</v>
      </c>
      <c r="B9" s="10" t="s">
        <v>34</v>
      </c>
      <c r="C9" s="10" t="s">
        <v>66</v>
      </c>
      <c r="D9" s="10" t="s">
        <v>67</v>
      </c>
      <c r="E9" s="10" t="s">
        <v>60</v>
      </c>
      <c r="F9" s="11"/>
      <c r="G9" s="12" t="s">
        <v>38</v>
      </c>
      <c r="H9" s="10" t="s">
        <v>39</v>
      </c>
      <c r="I9" s="13" t="s">
        <v>40</v>
      </c>
      <c r="J9" s="13" t="s">
        <v>61</v>
      </c>
      <c r="K9" s="12"/>
    </row>
    <row r="10" customFormat="false" ht="15" hidden="false" customHeight="false" outlineLevel="0" collapsed="false">
      <c r="A10" s="9" t="s">
        <v>68</v>
      </c>
      <c r="B10" s="10" t="s">
        <v>34</v>
      </c>
      <c r="C10" s="10" t="s">
        <v>69</v>
      </c>
      <c r="D10" s="10" t="s">
        <v>70</v>
      </c>
      <c r="E10" s="10" t="s">
        <v>45</v>
      </c>
      <c r="F10" s="11"/>
      <c r="G10" s="12" t="s">
        <v>38</v>
      </c>
      <c r="H10" s="10" t="s">
        <v>39</v>
      </c>
      <c r="I10" s="13" t="s">
        <v>40</v>
      </c>
      <c r="J10" s="13" t="s">
        <v>61</v>
      </c>
      <c r="K10" s="12"/>
    </row>
    <row r="11" customFormat="false" ht="15" hidden="false" customHeight="false" outlineLevel="0" collapsed="false">
      <c r="A11" s="9" t="s">
        <v>71</v>
      </c>
      <c r="B11" s="10" t="s">
        <v>34</v>
      </c>
      <c r="C11" s="10" t="s">
        <v>72</v>
      </c>
      <c r="D11" s="10" t="s">
        <v>73</v>
      </c>
      <c r="E11" s="10" t="s">
        <v>74</v>
      </c>
      <c r="F11" s="11"/>
      <c r="G11" s="12" t="s">
        <v>38</v>
      </c>
      <c r="H11" s="10" t="s">
        <v>75</v>
      </c>
      <c r="I11" s="13" t="s">
        <v>40</v>
      </c>
      <c r="J11" s="13" t="s">
        <v>76</v>
      </c>
      <c r="K11" s="12"/>
    </row>
    <row r="12" customFormat="false" ht="15" hidden="false" customHeight="false" outlineLevel="0" collapsed="false">
      <c r="A12" s="9" t="s">
        <v>77</v>
      </c>
      <c r="B12" s="10" t="s">
        <v>34</v>
      </c>
      <c r="C12" s="10" t="s">
        <v>78</v>
      </c>
      <c r="D12" s="10" t="s">
        <v>79</v>
      </c>
      <c r="E12" s="10" t="s">
        <v>80</v>
      </c>
      <c r="F12" s="11"/>
      <c r="G12" s="12" t="s">
        <v>38</v>
      </c>
      <c r="H12" s="10" t="s">
        <v>49</v>
      </c>
      <c r="I12" s="13" t="s">
        <v>40</v>
      </c>
      <c r="J12" s="13" t="s">
        <v>76</v>
      </c>
      <c r="K12" s="12"/>
    </row>
    <row r="13" customFormat="false" ht="15" hidden="false" customHeight="false" outlineLevel="0" collapsed="false">
      <c r="A13" s="9" t="s">
        <v>81</v>
      </c>
      <c r="B13" s="10" t="s">
        <v>34</v>
      </c>
      <c r="C13" s="10" t="s">
        <v>82</v>
      </c>
      <c r="D13" s="10" t="s">
        <v>83</v>
      </c>
      <c r="E13" s="10" t="s">
        <v>60</v>
      </c>
      <c r="F13" s="11"/>
      <c r="G13" s="12" t="s">
        <v>38</v>
      </c>
      <c r="H13" s="10" t="s">
        <v>75</v>
      </c>
      <c r="I13" s="13" t="s">
        <v>40</v>
      </c>
      <c r="J13" s="13" t="s">
        <v>61</v>
      </c>
      <c r="K13" s="12"/>
    </row>
    <row r="14" customFormat="false" ht="15" hidden="false" customHeight="false" outlineLevel="0" collapsed="false">
      <c r="A14" s="9" t="s">
        <v>84</v>
      </c>
      <c r="B14" s="10" t="s">
        <v>34</v>
      </c>
      <c r="C14" s="10" t="s">
        <v>85</v>
      </c>
      <c r="D14" s="10" t="s">
        <v>86</v>
      </c>
      <c r="E14" s="10" t="s">
        <v>60</v>
      </c>
      <c r="F14" s="11"/>
      <c r="G14" s="12" t="s">
        <v>38</v>
      </c>
      <c r="H14" s="10" t="s">
        <v>75</v>
      </c>
      <c r="I14" s="13" t="s">
        <v>40</v>
      </c>
      <c r="J14" s="13" t="s">
        <v>61</v>
      </c>
      <c r="K14" s="12"/>
    </row>
    <row r="15" customFormat="false" ht="15" hidden="false" customHeight="false" outlineLevel="0" collapsed="false">
      <c r="A15" s="9" t="s">
        <v>87</v>
      </c>
      <c r="B15" s="10" t="s">
        <v>34</v>
      </c>
      <c r="C15" s="10" t="s">
        <v>88</v>
      </c>
      <c r="D15" s="10" t="s">
        <v>89</v>
      </c>
      <c r="E15" s="10" t="s">
        <v>90</v>
      </c>
      <c r="F15" s="11"/>
      <c r="G15" s="12" t="s">
        <v>38</v>
      </c>
      <c r="H15" s="10" t="s">
        <v>49</v>
      </c>
      <c r="I15" s="13" t="s">
        <v>40</v>
      </c>
      <c r="J15" s="13" t="s">
        <v>76</v>
      </c>
      <c r="K15" s="12"/>
    </row>
    <row r="16" customFormat="false" ht="15" hidden="false" customHeight="false" outlineLevel="0" collapsed="false">
      <c r="A16" s="9" t="s">
        <v>91</v>
      </c>
      <c r="B16" s="10" t="s">
        <v>92</v>
      </c>
      <c r="C16" s="10" t="s">
        <v>93</v>
      </c>
      <c r="D16" s="10" t="s">
        <v>94</v>
      </c>
      <c r="E16" s="10" t="s">
        <v>95</v>
      </c>
      <c r="F16" s="11"/>
      <c r="G16" s="12" t="s">
        <v>38</v>
      </c>
      <c r="H16" s="10" t="s">
        <v>96</v>
      </c>
      <c r="I16" s="13" t="s">
        <v>97</v>
      </c>
      <c r="J16" s="13" t="s">
        <v>98</v>
      </c>
      <c r="K16" s="12"/>
    </row>
    <row r="17" customFormat="false" ht="15" hidden="false" customHeight="false" outlineLevel="0" collapsed="false">
      <c r="A17" s="9" t="s">
        <v>99</v>
      </c>
      <c r="B17" s="10" t="s">
        <v>92</v>
      </c>
      <c r="C17" s="10" t="s">
        <v>100</v>
      </c>
      <c r="D17" s="10" t="s">
        <v>101</v>
      </c>
      <c r="E17" s="10" t="s">
        <v>102</v>
      </c>
      <c r="F17" s="11"/>
      <c r="G17" s="12" t="s">
        <v>38</v>
      </c>
      <c r="H17" s="10" t="s">
        <v>96</v>
      </c>
      <c r="I17" s="13" t="s">
        <v>97</v>
      </c>
      <c r="J17" s="13" t="s">
        <v>103</v>
      </c>
      <c r="K17" s="12"/>
    </row>
    <row r="18" customFormat="false" ht="15" hidden="false" customHeight="false" outlineLevel="0" collapsed="false">
      <c r="A18" s="9" t="s">
        <v>104</v>
      </c>
      <c r="B18" s="10" t="s">
        <v>34</v>
      </c>
      <c r="C18" s="10" t="s">
        <v>105</v>
      </c>
      <c r="D18" s="10" t="s">
        <v>106</v>
      </c>
      <c r="E18" s="10" t="s">
        <v>95</v>
      </c>
      <c r="F18" s="11"/>
      <c r="G18" s="12" t="s">
        <v>38</v>
      </c>
      <c r="H18" s="10" t="s">
        <v>96</v>
      </c>
      <c r="I18" s="13" t="s">
        <v>97</v>
      </c>
      <c r="J18" s="13" t="s">
        <v>98</v>
      </c>
      <c r="K18" s="12"/>
    </row>
    <row r="19" customFormat="false" ht="23.85" hidden="false" customHeight="false" outlineLevel="0" collapsed="false">
      <c r="A19" s="9" t="s">
        <v>107</v>
      </c>
      <c r="B19" s="10" t="s">
        <v>34</v>
      </c>
      <c r="C19" s="10" t="s">
        <v>108</v>
      </c>
      <c r="D19" s="10" t="s">
        <v>109</v>
      </c>
      <c r="E19" s="10" t="s">
        <v>110</v>
      </c>
      <c r="F19" s="11"/>
      <c r="G19" s="12" t="s">
        <v>38</v>
      </c>
      <c r="H19" s="10" t="s">
        <v>96</v>
      </c>
      <c r="I19" s="13" t="s">
        <v>97</v>
      </c>
      <c r="J19" s="13" t="s">
        <v>61</v>
      </c>
      <c r="K19" s="12"/>
    </row>
    <row r="20" customFormat="false" ht="23.85" hidden="false" customHeight="false" outlineLevel="0" collapsed="false">
      <c r="A20" s="9" t="s">
        <v>111</v>
      </c>
      <c r="B20" s="10" t="s">
        <v>34</v>
      </c>
      <c r="C20" s="10" t="s">
        <v>112</v>
      </c>
      <c r="D20" s="10" t="s">
        <v>113</v>
      </c>
      <c r="E20" s="10" t="s">
        <v>114</v>
      </c>
      <c r="F20" s="11"/>
      <c r="G20" s="12" t="s">
        <v>38</v>
      </c>
      <c r="H20" s="10" t="s">
        <v>96</v>
      </c>
      <c r="I20" s="13" t="s">
        <v>97</v>
      </c>
      <c r="J20" s="13" t="s">
        <v>61</v>
      </c>
      <c r="K20" s="12"/>
    </row>
    <row r="21" customFormat="false" ht="23.85" hidden="false" customHeight="false" outlineLevel="0" collapsed="false">
      <c r="A21" s="9" t="s">
        <v>115</v>
      </c>
      <c r="B21" s="10" t="s">
        <v>116</v>
      </c>
      <c r="C21" s="10" t="s">
        <v>117</v>
      </c>
      <c r="D21" s="10" t="s">
        <v>118</v>
      </c>
      <c r="E21" s="10" t="s">
        <v>119</v>
      </c>
      <c r="F21" s="11"/>
      <c r="G21" s="12" t="s">
        <v>38</v>
      </c>
      <c r="H21" s="10" t="s">
        <v>96</v>
      </c>
      <c r="I21" s="13" t="s">
        <v>97</v>
      </c>
      <c r="J21" s="13" t="s">
        <v>120</v>
      </c>
      <c r="K21" s="12"/>
    </row>
    <row r="22" customFormat="false" ht="15" hidden="false" customHeight="false" outlineLevel="0" collapsed="false">
      <c r="A22" s="9" t="s">
        <v>121</v>
      </c>
      <c r="B22" s="10" t="s">
        <v>116</v>
      </c>
      <c r="C22" s="10" t="s">
        <v>122</v>
      </c>
      <c r="D22" s="10" t="s">
        <v>123</v>
      </c>
      <c r="E22" s="10" t="s">
        <v>124</v>
      </c>
      <c r="F22" s="11"/>
      <c r="G22" s="12" t="s">
        <v>38</v>
      </c>
      <c r="H22" s="10" t="s">
        <v>49</v>
      </c>
      <c r="I22" s="13" t="s">
        <v>97</v>
      </c>
      <c r="J22" s="13" t="s">
        <v>125</v>
      </c>
      <c r="K22" s="12"/>
    </row>
    <row r="23" customFormat="false" ht="15" hidden="false" customHeight="false" outlineLevel="0" collapsed="false">
      <c r="A23" s="9" t="s">
        <v>126</v>
      </c>
      <c r="B23" s="10" t="s">
        <v>116</v>
      </c>
      <c r="C23" s="10" t="s">
        <v>127</v>
      </c>
      <c r="D23" s="10" t="s">
        <v>128</v>
      </c>
      <c r="E23" s="10" t="s">
        <v>129</v>
      </c>
      <c r="F23" s="11"/>
      <c r="G23" s="12" t="s">
        <v>38</v>
      </c>
      <c r="H23" s="10" t="s">
        <v>49</v>
      </c>
      <c r="I23" s="13" t="s">
        <v>97</v>
      </c>
      <c r="J23" s="13" t="s">
        <v>125</v>
      </c>
      <c r="K23" s="12"/>
    </row>
    <row r="24" customFormat="false" ht="15" hidden="false" customHeight="false" outlineLevel="0" collapsed="false">
      <c r="A24" s="9" t="s">
        <v>130</v>
      </c>
      <c r="B24" s="10" t="s">
        <v>116</v>
      </c>
      <c r="C24" s="10" t="s">
        <v>131</v>
      </c>
      <c r="D24" s="10" t="s">
        <v>132</v>
      </c>
      <c r="E24" s="10" t="s">
        <v>133</v>
      </c>
      <c r="F24" s="11"/>
      <c r="G24" s="12" t="s">
        <v>38</v>
      </c>
      <c r="H24" s="10" t="s">
        <v>96</v>
      </c>
      <c r="I24" s="13" t="s">
        <v>97</v>
      </c>
      <c r="J24" s="13" t="s">
        <v>120</v>
      </c>
      <c r="K24" s="12"/>
    </row>
    <row r="25" customFormat="false" ht="23.85" hidden="false" customHeight="false" outlineLevel="0" collapsed="false">
      <c r="A25" s="9" t="s">
        <v>134</v>
      </c>
      <c r="B25" s="10" t="s">
        <v>116</v>
      </c>
      <c r="C25" s="10" t="s">
        <v>135</v>
      </c>
      <c r="D25" s="10" t="s">
        <v>136</v>
      </c>
      <c r="E25" s="10" t="s">
        <v>137</v>
      </c>
      <c r="F25" s="11"/>
      <c r="G25" s="12" t="s">
        <v>38</v>
      </c>
      <c r="H25" s="10" t="s">
        <v>138</v>
      </c>
      <c r="I25" s="13" t="s">
        <v>139</v>
      </c>
      <c r="J25" s="13" t="s">
        <v>76</v>
      </c>
      <c r="K25" s="12"/>
    </row>
    <row r="26" customFormat="false" ht="23.85" hidden="false" customHeight="false" outlineLevel="0" collapsed="false">
      <c r="A26" s="9" t="s">
        <v>140</v>
      </c>
      <c r="B26" s="10" t="s">
        <v>116</v>
      </c>
      <c r="C26" s="10" t="s">
        <v>141</v>
      </c>
      <c r="D26" s="10" t="s">
        <v>142</v>
      </c>
      <c r="E26" s="10" t="s">
        <v>143</v>
      </c>
      <c r="F26" s="11"/>
      <c r="G26" s="12" t="s">
        <v>38</v>
      </c>
      <c r="H26" s="10" t="s">
        <v>138</v>
      </c>
      <c r="I26" s="13" t="s">
        <v>139</v>
      </c>
      <c r="J26" s="13" t="s">
        <v>76</v>
      </c>
      <c r="K26" s="12"/>
    </row>
    <row r="27" customFormat="false" ht="23.85" hidden="false" customHeight="false" outlineLevel="0" collapsed="false">
      <c r="A27" s="9" t="s">
        <v>144</v>
      </c>
      <c r="B27" s="10" t="s">
        <v>116</v>
      </c>
      <c r="C27" s="10" t="s">
        <v>145</v>
      </c>
      <c r="D27" s="10" t="s">
        <v>146</v>
      </c>
      <c r="E27" s="10" t="s">
        <v>147</v>
      </c>
      <c r="F27" s="11"/>
      <c r="G27" s="12" t="s">
        <v>38</v>
      </c>
      <c r="H27" s="10" t="s">
        <v>138</v>
      </c>
      <c r="I27" s="13" t="s">
        <v>139</v>
      </c>
      <c r="J27" s="13" t="s">
        <v>76</v>
      </c>
      <c r="K27" s="12"/>
    </row>
    <row r="28" customFormat="false" ht="15" hidden="false" customHeight="false" outlineLevel="0" collapsed="false">
      <c r="A28" s="9" t="s">
        <v>148</v>
      </c>
      <c r="B28" s="10" t="s">
        <v>116</v>
      </c>
      <c r="C28" s="10" t="s">
        <v>149</v>
      </c>
      <c r="D28" s="10" t="s">
        <v>150</v>
      </c>
      <c r="E28" s="10" t="s">
        <v>151</v>
      </c>
      <c r="F28" s="11"/>
      <c r="G28" s="12" t="s">
        <v>38</v>
      </c>
      <c r="H28" s="10" t="s">
        <v>39</v>
      </c>
      <c r="I28" s="13" t="s">
        <v>97</v>
      </c>
      <c r="J28" s="13" t="s">
        <v>41</v>
      </c>
      <c r="K28" s="12"/>
    </row>
    <row r="29" customFormat="false" ht="15" hidden="false" customHeight="false" outlineLevel="0" collapsed="false">
      <c r="A29" s="9" t="s">
        <v>152</v>
      </c>
      <c r="B29" s="10" t="s">
        <v>116</v>
      </c>
      <c r="C29" s="10" t="s">
        <v>153</v>
      </c>
      <c r="D29" s="10" t="s">
        <v>154</v>
      </c>
      <c r="E29" s="10" t="s">
        <v>155</v>
      </c>
      <c r="F29" s="11"/>
      <c r="G29" s="12" t="s">
        <v>38</v>
      </c>
      <c r="H29" s="10" t="s">
        <v>39</v>
      </c>
      <c r="I29" s="13" t="s">
        <v>97</v>
      </c>
      <c r="J29" s="13" t="s">
        <v>41</v>
      </c>
      <c r="K29" s="12"/>
    </row>
    <row r="30" customFormat="false" ht="15" hidden="false" customHeight="false" outlineLevel="0" collapsed="false">
      <c r="A30" s="9" t="s">
        <v>156</v>
      </c>
      <c r="B30" s="10" t="s">
        <v>92</v>
      </c>
      <c r="C30" s="10" t="s">
        <v>157</v>
      </c>
      <c r="D30" s="10" t="s">
        <v>158</v>
      </c>
      <c r="E30" s="10" t="s">
        <v>159</v>
      </c>
      <c r="F30" s="11"/>
      <c r="G30" s="12" t="s">
        <v>38</v>
      </c>
      <c r="H30" s="10" t="s">
        <v>138</v>
      </c>
      <c r="I30" s="13" t="s">
        <v>139</v>
      </c>
      <c r="J30" s="13" t="s">
        <v>61</v>
      </c>
      <c r="K30" s="12"/>
    </row>
    <row r="31" customFormat="false" ht="15" hidden="false" customHeight="false" outlineLevel="0" collapsed="false">
      <c r="A31" s="9" t="s">
        <v>160</v>
      </c>
      <c r="B31" s="10" t="s">
        <v>92</v>
      </c>
      <c r="C31" s="10" t="s">
        <v>161</v>
      </c>
      <c r="D31" s="10" t="s">
        <v>162</v>
      </c>
      <c r="E31" s="10" t="s">
        <v>163</v>
      </c>
      <c r="F31" s="11"/>
      <c r="G31" s="12" t="s">
        <v>38</v>
      </c>
      <c r="H31" s="10" t="s">
        <v>138</v>
      </c>
      <c r="I31" s="13" t="s">
        <v>139</v>
      </c>
      <c r="J31" s="13" t="s">
        <v>76</v>
      </c>
      <c r="K31" s="12"/>
    </row>
    <row r="32" customFormat="false" ht="15" hidden="false" customHeight="false" outlineLevel="0" collapsed="false">
      <c r="A32" s="9" t="s">
        <v>164</v>
      </c>
      <c r="B32" s="10" t="s">
        <v>34</v>
      </c>
      <c r="C32" s="10" t="s">
        <v>165</v>
      </c>
      <c r="D32" s="10" t="s">
        <v>166</v>
      </c>
      <c r="E32" s="10" t="s">
        <v>167</v>
      </c>
      <c r="F32" s="11"/>
      <c r="G32" s="12" t="s">
        <v>38</v>
      </c>
      <c r="H32" s="10" t="s">
        <v>75</v>
      </c>
      <c r="I32" s="13" t="s">
        <v>97</v>
      </c>
      <c r="J32" s="13" t="s">
        <v>61</v>
      </c>
      <c r="K32" s="12"/>
    </row>
    <row r="33" customFormat="false" ht="15" hidden="false" customHeight="false" outlineLevel="0" collapsed="false">
      <c r="A33" s="9" t="s">
        <v>168</v>
      </c>
      <c r="B33" s="10" t="s">
        <v>116</v>
      </c>
      <c r="C33" s="10" t="s">
        <v>169</v>
      </c>
      <c r="D33" s="10" t="s">
        <v>170</v>
      </c>
      <c r="E33" s="10" t="s">
        <v>167</v>
      </c>
      <c r="F33" s="11"/>
      <c r="G33" s="12" t="s">
        <v>38</v>
      </c>
      <c r="H33" s="10" t="s">
        <v>75</v>
      </c>
      <c r="I33" s="13" t="s">
        <v>97</v>
      </c>
      <c r="J33" s="13" t="s">
        <v>120</v>
      </c>
      <c r="K33" s="12"/>
    </row>
    <row r="34" customFormat="false" ht="15" hidden="false" customHeight="false" outlineLevel="0" collapsed="false">
      <c r="A34" s="9" t="s">
        <v>171</v>
      </c>
      <c r="B34" s="10" t="s">
        <v>172</v>
      </c>
      <c r="C34" s="10" t="s">
        <v>173</v>
      </c>
      <c r="D34" s="10" t="s">
        <v>174</v>
      </c>
      <c r="E34" s="10" t="s">
        <v>95</v>
      </c>
      <c r="F34" s="11"/>
      <c r="G34" s="12" t="s">
        <v>38</v>
      </c>
      <c r="H34" s="10" t="s">
        <v>96</v>
      </c>
      <c r="I34" s="13" t="s">
        <v>97</v>
      </c>
      <c r="J34" s="13" t="s">
        <v>175</v>
      </c>
      <c r="K34" s="12"/>
    </row>
    <row r="35" customFormat="false" ht="15" hidden="false" customHeight="false" outlineLevel="0" collapsed="false">
      <c r="A35" s="9" t="s">
        <v>176</v>
      </c>
      <c r="B35" s="10" t="s">
        <v>172</v>
      </c>
      <c r="C35" s="10" t="s">
        <v>177</v>
      </c>
      <c r="D35" s="10" t="s">
        <v>178</v>
      </c>
      <c r="E35" s="10" t="s">
        <v>179</v>
      </c>
      <c r="F35" s="11"/>
      <c r="G35" s="12" t="s">
        <v>38</v>
      </c>
      <c r="H35" s="10" t="s">
        <v>138</v>
      </c>
      <c r="I35" s="13" t="s">
        <v>139</v>
      </c>
      <c r="J35" s="13" t="s">
        <v>175</v>
      </c>
      <c r="K35" s="12"/>
    </row>
    <row r="36" customFormat="false" ht="15" hidden="false" customHeight="false" outlineLevel="0" collapsed="false">
      <c r="A36" s="9" t="s">
        <v>180</v>
      </c>
      <c r="B36" s="10" t="s">
        <v>172</v>
      </c>
      <c r="C36" s="10" t="s">
        <v>181</v>
      </c>
      <c r="D36" s="10" t="s">
        <v>182</v>
      </c>
      <c r="E36" s="10" t="s">
        <v>183</v>
      </c>
      <c r="F36" s="11"/>
      <c r="G36" s="12" t="s">
        <v>38</v>
      </c>
      <c r="H36" s="10" t="s">
        <v>96</v>
      </c>
      <c r="I36" s="13" t="s">
        <v>97</v>
      </c>
      <c r="J36" s="13" t="s">
        <v>175</v>
      </c>
      <c r="K36" s="12"/>
    </row>
    <row r="37" customFormat="false" ht="15" hidden="false" customHeight="false" outlineLevel="0" collapsed="false">
      <c r="A37" s="9" t="s">
        <v>184</v>
      </c>
      <c r="B37" s="10" t="s">
        <v>172</v>
      </c>
      <c r="C37" s="10" t="s">
        <v>185</v>
      </c>
      <c r="D37" s="10" t="s">
        <v>186</v>
      </c>
      <c r="E37" s="10" t="s">
        <v>187</v>
      </c>
      <c r="F37" s="11"/>
      <c r="G37" s="12" t="s">
        <v>38</v>
      </c>
      <c r="H37" s="10" t="s">
        <v>96</v>
      </c>
      <c r="I37" s="13" t="s">
        <v>97</v>
      </c>
      <c r="J37" s="13" t="s">
        <v>175</v>
      </c>
      <c r="K37" s="12"/>
    </row>
    <row r="38" customFormat="false" ht="15" hidden="false" customHeight="false" outlineLevel="0" collapsed="false">
      <c r="A38" s="9" t="s">
        <v>188</v>
      </c>
      <c r="B38" s="10" t="s">
        <v>172</v>
      </c>
      <c r="C38" s="10" t="s">
        <v>189</v>
      </c>
      <c r="D38" s="10" t="s">
        <v>190</v>
      </c>
      <c r="E38" s="10" t="s">
        <v>167</v>
      </c>
      <c r="F38" s="11"/>
      <c r="G38" s="12" t="s">
        <v>38</v>
      </c>
      <c r="H38" s="10" t="s">
        <v>75</v>
      </c>
      <c r="I38" s="13" t="s">
        <v>97</v>
      </c>
      <c r="J38" s="13" t="s">
        <v>175</v>
      </c>
      <c r="K38" s="12"/>
    </row>
    <row r="39" customFormat="false" ht="23.85" hidden="false" customHeight="false" outlineLevel="0" collapsed="false">
      <c r="A39" s="9" t="s">
        <v>191</v>
      </c>
      <c r="B39" s="10" t="s">
        <v>116</v>
      </c>
      <c r="C39" s="10" t="s">
        <v>192</v>
      </c>
      <c r="D39" s="10" t="s">
        <v>193</v>
      </c>
      <c r="E39" s="10" t="s">
        <v>194</v>
      </c>
      <c r="F39" s="11"/>
      <c r="G39" s="12" t="s">
        <v>38</v>
      </c>
      <c r="H39" s="10" t="s">
        <v>138</v>
      </c>
      <c r="I39" s="13" t="s">
        <v>139</v>
      </c>
      <c r="J39" s="13" t="s">
        <v>195</v>
      </c>
      <c r="K39" s="12"/>
    </row>
    <row r="40" customFormat="false" ht="15" hidden="false" customHeight="false" outlineLevel="0" collapsed="false">
      <c r="A40" s="9" t="s">
        <v>196</v>
      </c>
      <c r="B40" s="10" t="s">
        <v>116</v>
      </c>
      <c r="C40" s="10" t="s">
        <v>197</v>
      </c>
      <c r="D40" s="10" t="s">
        <v>198</v>
      </c>
      <c r="E40" s="10" t="s">
        <v>199</v>
      </c>
      <c r="F40" s="11"/>
      <c r="G40" s="12" t="s">
        <v>38</v>
      </c>
      <c r="H40" s="10" t="s">
        <v>96</v>
      </c>
      <c r="I40" s="13" t="s">
        <v>97</v>
      </c>
      <c r="J40" s="13" t="s">
        <v>98</v>
      </c>
      <c r="K40" s="12"/>
    </row>
    <row r="41" customFormat="false" ht="15" hidden="false" customHeight="false" outlineLevel="0" collapsed="false">
      <c r="A41" s="9" t="s">
        <v>200</v>
      </c>
      <c r="B41" s="10" t="s">
        <v>116</v>
      </c>
      <c r="C41" s="10" t="s">
        <v>201</v>
      </c>
      <c r="D41" s="10" t="s">
        <v>202</v>
      </c>
      <c r="E41" s="10" t="s">
        <v>203</v>
      </c>
      <c r="F41" s="11"/>
      <c r="G41" s="12" t="s">
        <v>38</v>
      </c>
      <c r="H41" s="10" t="s">
        <v>75</v>
      </c>
      <c r="I41" s="13" t="s">
        <v>97</v>
      </c>
      <c r="J41" s="13" t="s">
        <v>76</v>
      </c>
      <c r="K41" s="12"/>
    </row>
    <row r="42" customFormat="false" ht="15" hidden="false" customHeight="false" outlineLevel="0" collapsed="false">
      <c r="A42" s="9" t="s">
        <v>204</v>
      </c>
      <c r="B42" s="10" t="s">
        <v>92</v>
      </c>
      <c r="C42" s="10" t="s">
        <v>205</v>
      </c>
      <c r="D42" s="10" t="s">
        <v>206</v>
      </c>
      <c r="E42" s="10" t="s">
        <v>207</v>
      </c>
      <c r="F42" s="11"/>
      <c r="G42" s="12" t="s">
        <v>38</v>
      </c>
      <c r="H42" s="10" t="s">
        <v>49</v>
      </c>
      <c r="I42" s="13" t="s">
        <v>97</v>
      </c>
      <c r="J42" s="13" t="s">
        <v>103</v>
      </c>
      <c r="K42" s="12"/>
    </row>
    <row r="43" customFormat="false" ht="15" hidden="false" customHeight="false" outlineLevel="0" collapsed="false">
      <c r="A43" s="9" t="s">
        <v>208</v>
      </c>
      <c r="B43" s="10" t="s">
        <v>116</v>
      </c>
      <c r="C43" s="10" t="s">
        <v>209</v>
      </c>
      <c r="D43" s="10" t="s">
        <v>210</v>
      </c>
      <c r="E43" s="10" t="s">
        <v>211</v>
      </c>
      <c r="F43" s="11"/>
      <c r="G43" s="12" t="s">
        <v>38</v>
      </c>
      <c r="H43" s="10" t="s">
        <v>49</v>
      </c>
      <c r="I43" s="13" t="s">
        <v>97</v>
      </c>
      <c r="J43" s="13" t="s">
        <v>103</v>
      </c>
      <c r="K43" s="12"/>
    </row>
  </sheetData>
  <autoFilter ref="A1:K43"/>
  <conditionalFormatting sqref="G2:G43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"Not Run"</formula>
    </cfRule>
  </conditionalFormatting>
  <dataValidations count="1">
    <dataValidation allowBlank="false" errorStyle="stop" operator="between" showDropDown="false" showErrorMessage="false" showInputMessage="false" sqref="G2:G43" type="list">
      <formula1>"Not Run,Pass,Fail"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52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8" min="8" style="0" width="44"/>
    <col collapsed="false" customWidth="true" hidden="false" outlineLevel="0" max="9" min="9" style="0" width="16"/>
  </cols>
  <sheetData>
    <row r="1" customFormat="false" ht="27.75" hidden="false" customHeight="true" outlineLevel="0" collapsed="false">
      <c r="A1" s="8" t="s">
        <v>32</v>
      </c>
      <c r="B1" s="8" t="s">
        <v>212</v>
      </c>
      <c r="C1" s="8" t="s">
        <v>213</v>
      </c>
      <c r="D1" s="8" t="s">
        <v>214</v>
      </c>
      <c r="E1" s="8" t="s">
        <v>215</v>
      </c>
      <c r="F1" s="8" t="s">
        <v>216</v>
      </c>
      <c r="G1" s="8" t="s">
        <v>28</v>
      </c>
      <c r="H1" s="8" t="s">
        <v>217</v>
      </c>
      <c r="I1" s="8" t="s">
        <v>218</v>
      </c>
    </row>
    <row r="2" customFormat="false" ht="15" hidden="false" customHeight="false" outlineLevel="0" collapsed="false">
      <c r="A2" s="12"/>
      <c r="B2" s="11"/>
      <c r="C2" s="12"/>
      <c r="D2" s="11"/>
      <c r="E2" s="12"/>
      <c r="F2" s="12"/>
      <c r="G2" s="12"/>
      <c r="H2" s="11"/>
      <c r="I2" s="12"/>
    </row>
    <row r="3" customFormat="false" ht="15" hidden="false" customHeight="false" outlineLevel="0" collapsed="false">
      <c r="A3" s="12"/>
      <c r="B3" s="11"/>
      <c r="C3" s="12"/>
      <c r="D3" s="11"/>
      <c r="E3" s="12"/>
      <c r="F3" s="12"/>
      <c r="G3" s="12"/>
      <c r="H3" s="11"/>
      <c r="I3" s="12"/>
    </row>
    <row r="4" customFormat="false" ht="15" hidden="false" customHeight="false" outlineLevel="0" collapsed="false">
      <c r="A4" s="12"/>
      <c r="B4" s="11"/>
      <c r="C4" s="12"/>
      <c r="D4" s="11"/>
      <c r="E4" s="12"/>
      <c r="F4" s="12"/>
      <c r="G4" s="12"/>
      <c r="H4" s="11"/>
      <c r="I4" s="12"/>
    </row>
    <row r="5" customFormat="false" ht="15" hidden="false" customHeight="false" outlineLevel="0" collapsed="false">
      <c r="A5" s="12"/>
      <c r="B5" s="11"/>
      <c r="C5" s="12"/>
      <c r="D5" s="11"/>
      <c r="E5" s="12"/>
      <c r="F5" s="12"/>
      <c r="G5" s="12"/>
      <c r="H5" s="11"/>
      <c r="I5" s="12"/>
    </row>
    <row r="6" customFormat="false" ht="15" hidden="false" customHeight="false" outlineLevel="0" collapsed="false">
      <c r="A6" s="12"/>
      <c r="B6" s="11"/>
      <c r="C6" s="12"/>
      <c r="D6" s="11"/>
      <c r="E6" s="12"/>
      <c r="F6" s="12"/>
      <c r="G6" s="12"/>
      <c r="H6" s="11"/>
      <c r="I6" s="12"/>
    </row>
    <row r="7" customFormat="false" ht="15" hidden="false" customHeight="false" outlineLevel="0" collapsed="false">
      <c r="A7" s="12"/>
      <c r="B7" s="11"/>
      <c r="C7" s="12"/>
      <c r="D7" s="11"/>
      <c r="E7" s="12"/>
      <c r="F7" s="12"/>
      <c r="G7" s="12"/>
      <c r="H7" s="11"/>
      <c r="I7" s="12"/>
    </row>
    <row r="8" customFormat="false" ht="15" hidden="false" customHeight="false" outlineLevel="0" collapsed="false">
      <c r="A8" s="12"/>
      <c r="B8" s="11"/>
      <c r="C8" s="12"/>
      <c r="D8" s="11"/>
      <c r="E8" s="12"/>
      <c r="F8" s="12"/>
      <c r="G8" s="12"/>
      <c r="H8" s="11"/>
      <c r="I8" s="12"/>
    </row>
    <row r="9" customFormat="false" ht="15" hidden="false" customHeight="false" outlineLevel="0" collapsed="false">
      <c r="A9" s="12"/>
      <c r="B9" s="11"/>
      <c r="C9" s="12"/>
      <c r="D9" s="11"/>
      <c r="E9" s="12"/>
      <c r="F9" s="12"/>
      <c r="G9" s="12"/>
      <c r="H9" s="11"/>
      <c r="I9" s="12"/>
    </row>
    <row r="10" customFormat="false" ht="15" hidden="false" customHeight="false" outlineLevel="0" collapsed="false">
      <c r="A10" s="12"/>
      <c r="B10" s="11"/>
      <c r="C10" s="12"/>
      <c r="D10" s="11"/>
      <c r="E10" s="12"/>
      <c r="F10" s="12"/>
      <c r="G10" s="12"/>
      <c r="H10" s="11"/>
      <c r="I10" s="12"/>
    </row>
    <row r="11" customFormat="false" ht="15" hidden="false" customHeight="false" outlineLevel="0" collapsed="false">
      <c r="A11" s="12"/>
      <c r="B11" s="11"/>
      <c r="C11" s="12"/>
      <c r="D11" s="11"/>
      <c r="E11" s="12"/>
      <c r="F11" s="12"/>
      <c r="G11" s="12"/>
      <c r="H11" s="11"/>
      <c r="I11" s="12"/>
    </row>
    <row r="12" customFormat="false" ht="15" hidden="false" customHeight="false" outlineLevel="0" collapsed="false">
      <c r="A12" s="12"/>
      <c r="B12" s="11"/>
      <c r="C12" s="12"/>
      <c r="D12" s="11"/>
      <c r="E12" s="12"/>
      <c r="F12" s="12"/>
      <c r="G12" s="12"/>
      <c r="H12" s="11"/>
      <c r="I12" s="12"/>
    </row>
    <row r="13" customFormat="false" ht="15" hidden="false" customHeight="false" outlineLevel="0" collapsed="false">
      <c r="A13" s="12"/>
      <c r="B13" s="11"/>
      <c r="C13" s="12"/>
      <c r="D13" s="11"/>
      <c r="E13" s="12"/>
      <c r="F13" s="12"/>
      <c r="G13" s="12"/>
      <c r="H13" s="11"/>
      <c r="I13" s="12"/>
    </row>
  </sheetData>
  <dataValidations count="4">
    <dataValidation allowBlank="true" errorStyle="stop" operator="between" showDropDown="false" showErrorMessage="false" showInputMessage="false" sqref="E2:E13" type="list">
      <formula1>"Critical,Major,Minor,Trivial"</formula1>
      <formula2>0</formula2>
    </dataValidation>
    <dataValidation allowBlank="true" errorStyle="stop" operator="between" showDropDown="false" showErrorMessage="false" showInputMessage="false" sqref="F2:F13" type="list">
      <formula1>"High,Medium,Low"</formula1>
      <formula2>0</formula2>
    </dataValidation>
    <dataValidation allowBlank="true" errorStyle="stop" operator="between" showDropDown="false" showErrorMessage="false" showInputMessage="false" sqref="G2:G13" type="list">
      <formula1>"Open,In Progress,Fixed,Closed"</formula1>
      <formula2>0</formula2>
    </dataValidation>
    <dataValidation allowBlank="true" errorStyle="stop" operator="between" showDropDown="false" showErrorMessage="false" showInputMessage="false" sqref="I2:I13" type="list">
      <formula1>"Pass,Fail,Pending"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" t="s">
        <v>219</v>
      </c>
    </row>
    <row r="3" customFormat="false" ht="15" hidden="false" customHeight="false" outlineLevel="0" collapsed="false">
      <c r="A3" s="14" t="s">
        <v>220</v>
      </c>
      <c r="B3" s="13" t="n">
        <f aca="false">COUNTA('Test Cases'!$A$2:$A$200)</f>
        <v>42</v>
      </c>
    </row>
    <row r="4" customFormat="false" ht="15" hidden="false" customHeight="false" outlineLevel="0" collapsed="false">
      <c r="A4" s="14" t="s">
        <v>221</v>
      </c>
      <c r="B4" s="13" t="n">
        <f aca="false">COUNTIF('Test Cases'!$G$2:$G$200,"Pass")</f>
        <v>0</v>
      </c>
    </row>
    <row r="5" customFormat="false" ht="15" hidden="false" customHeight="false" outlineLevel="0" collapsed="false">
      <c r="A5" s="14" t="s">
        <v>222</v>
      </c>
      <c r="B5" s="13" t="n">
        <f aca="false">COUNTIF('Test Cases'!$G$2:$G$200,"Fail")</f>
        <v>0</v>
      </c>
    </row>
    <row r="6" customFormat="false" ht="15" hidden="false" customHeight="false" outlineLevel="0" collapsed="false">
      <c r="A6" s="14" t="s">
        <v>223</v>
      </c>
      <c r="B6" s="13" t="n">
        <f aca="false">COUNTIF('Test Cases'!$G$2:$G$200,"Not Run")</f>
        <v>42</v>
      </c>
    </row>
    <row r="7" customFormat="false" ht="15" hidden="false" customHeight="false" outlineLevel="0" collapsed="false">
      <c r="A7" s="14" t="s">
        <v>224</v>
      </c>
      <c r="B7" s="15" t="n">
        <f aca="false">IF(B4+B5=0,0,B4/(B4+B5))</f>
        <v>0</v>
      </c>
    </row>
    <row r="8" customFormat="false" ht="15" hidden="false" customHeight="false" outlineLevel="0" collapsed="false">
      <c r="A8" s="14" t="s">
        <v>225</v>
      </c>
      <c r="B8" s="13" t="n">
        <f aca="false">COUNTA('Bug Log'!$A$2:$A$13)</f>
        <v>0</v>
      </c>
    </row>
    <row r="11" customFormat="false" ht="15" hidden="false" customHeight="false" outlineLevel="0" collapsed="false">
      <c r="A11" s="8" t="s">
        <v>29</v>
      </c>
      <c r="B11" s="8" t="s">
        <v>226</v>
      </c>
      <c r="C11" s="8" t="s">
        <v>227</v>
      </c>
      <c r="D11" s="8" t="s">
        <v>228</v>
      </c>
    </row>
    <row r="12" customFormat="false" ht="15" hidden="false" customHeight="false" outlineLevel="0" collapsed="false">
      <c r="A12" s="10" t="s">
        <v>39</v>
      </c>
      <c r="B12" s="13" t="n">
        <f aca="false">COUNTIF('Test Cases'!$H$2:$H$200,A12)</f>
        <v>9</v>
      </c>
      <c r="C12" s="13" t="n">
        <f aca="false">COUNTIFS('Test Cases'!$H$2:$H$200,A12,'Test Cases'!$G$2:$G$200,"Pass")</f>
        <v>0</v>
      </c>
      <c r="D12" s="13" t="n">
        <f aca="false">COUNTIFS('Test Cases'!$H$2:$H$200,A12,'Test Cases'!$G$2:$G$200,"Fail")</f>
        <v>0</v>
      </c>
    </row>
    <row r="13" customFormat="false" ht="15" hidden="false" customHeight="false" outlineLevel="0" collapsed="false">
      <c r="A13" s="10" t="s">
        <v>49</v>
      </c>
      <c r="B13" s="13" t="n">
        <f aca="false">COUNTIF('Test Cases'!$H$2:$H$200,A13)</f>
        <v>8</v>
      </c>
      <c r="C13" s="13" t="n">
        <f aca="false">COUNTIFS('Test Cases'!$H$2:$H$200,A13,'Test Cases'!$G$2:$G$200,"Pass")</f>
        <v>0</v>
      </c>
      <c r="D13" s="13" t="n">
        <f aca="false">COUNTIFS('Test Cases'!$H$2:$H$200,A13,'Test Cases'!$G$2:$G$200,"Fail")</f>
        <v>0</v>
      </c>
    </row>
    <row r="14" customFormat="false" ht="15" hidden="false" customHeight="false" outlineLevel="0" collapsed="false">
      <c r="A14" s="10" t="s">
        <v>75</v>
      </c>
      <c r="B14" s="13" t="n">
        <f aca="false">COUNTIF('Test Cases'!$H$2:$H$200,A14)</f>
        <v>7</v>
      </c>
      <c r="C14" s="13" t="n">
        <f aca="false">COUNTIFS('Test Cases'!$H$2:$H$200,A14,'Test Cases'!$G$2:$G$200,"Pass")</f>
        <v>0</v>
      </c>
      <c r="D14" s="13" t="n">
        <f aca="false">COUNTIFS('Test Cases'!$H$2:$H$200,A14,'Test Cases'!$G$2:$G$200,"Fail")</f>
        <v>0</v>
      </c>
    </row>
    <row r="15" customFormat="false" ht="15" hidden="false" customHeight="false" outlineLevel="0" collapsed="false">
      <c r="A15" s="10" t="s">
        <v>96</v>
      </c>
      <c r="B15" s="13" t="n">
        <f aca="false">COUNTIF('Test Cases'!$H$2:$H$200,A15)</f>
        <v>11</v>
      </c>
      <c r="C15" s="13" t="n">
        <f aca="false">COUNTIFS('Test Cases'!$H$2:$H$200,A15,'Test Cases'!$G$2:$G$200,"Pass")</f>
        <v>0</v>
      </c>
      <c r="D15" s="13" t="n">
        <f aca="false">COUNTIFS('Test Cases'!$H$2:$H$200,A15,'Test Cases'!$G$2:$G$200,"Fail")</f>
        <v>0</v>
      </c>
    </row>
    <row r="16" customFormat="false" ht="15" hidden="false" customHeight="false" outlineLevel="0" collapsed="false">
      <c r="A16" s="10" t="s">
        <v>138</v>
      </c>
      <c r="B16" s="13" t="n">
        <f aca="false">COUNTIF('Test Cases'!$H$2:$H$200,A16)</f>
        <v>7</v>
      </c>
      <c r="C16" s="13" t="n">
        <f aca="false">COUNTIFS('Test Cases'!$H$2:$H$200,A16,'Test Cases'!$G$2:$G$200,"Pass")</f>
        <v>0</v>
      </c>
      <c r="D16" s="13" t="n">
        <f aca="false">COUNTIFS('Test Cases'!$H$2:$H$200,A16,'Test Cases'!$G$2:$G$200,"Fail")</f>
        <v>0</v>
      </c>
    </row>
    <row r="19" customFormat="false" ht="15" hidden="false" customHeight="false" outlineLevel="0" collapsed="false">
      <c r="A19" s="8" t="s">
        <v>30</v>
      </c>
      <c r="B19" s="8" t="s">
        <v>226</v>
      </c>
      <c r="C19" s="8" t="s">
        <v>227</v>
      </c>
      <c r="D19" s="8" t="s">
        <v>228</v>
      </c>
    </row>
    <row r="20" customFormat="false" ht="15" hidden="false" customHeight="false" outlineLevel="0" collapsed="false">
      <c r="A20" s="10" t="s">
        <v>40</v>
      </c>
      <c r="B20" s="13" t="n">
        <f aca="false">COUNTIF('Test Cases'!$I$2:$I$200,A20)</f>
        <v>14</v>
      </c>
      <c r="C20" s="13" t="n">
        <f aca="false">COUNTIFS('Test Cases'!$I$2:$I$200,A20,'Test Cases'!$G$2:$G$200,"Pass")</f>
        <v>0</v>
      </c>
      <c r="D20" s="13" t="n">
        <f aca="false">COUNTIFS('Test Cases'!$I$2:$I$200,A20,'Test Cases'!$G$2:$G$200,"Fail")</f>
        <v>0</v>
      </c>
    </row>
    <row r="21" customFormat="false" ht="15" hidden="false" customHeight="false" outlineLevel="0" collapsed="false">
      <c r="A21" s="10" t="s">
        <v>97</v>
      </c>
      <c r="B21" s="13" t="n">
        <f aca="false">COUNTIF('Test Cases'!$I$2:$I$200,A21)</f>
        <v>21</v>
      </c>
      <c r="C21" s="13" t="n">
        <f aca="false">COUNTIFS('Test Cases'!$I$2:$I$200,A21,'Test Cases'!$G$2:$G$200,"Pass")</f>
        <v>0</v>
      </c>
      <c r="D21" s="13" t="n">
        <f aca="false">COUNTIFS('Test Cases'!$I$2:$I$200,A21,'Test Cases'!$G$2:$G$200,"Fail")</f>
        <v>0</v>
      </c>
    </row>
    <row r="22" customFormat="false" ht="15" hidden="false" customHeight="false" outlineLevel="0" collapsed="false">
      <c r="A22" s="10" t="s">
        <v>139</v>
      </c>
      <c r="B22" s="13" t="n">
        <f aca="false">COUNTIF('Test Cases'!$I$2:$I$200,A22)</f>
        <v>7</v>
      </c>
      <c r="C22" s="13" t="n">
        <f aca="false">COUNTIFS('Test Cases'!$I$2:$I$200,A22,'Test Cases'!$G$2:$G$200,"Pass")</f>
        <v>0</v>
      </c>
      <c r="D22" s="13" t="n">
        <f aca="false">COUNTIFS('Test Cases'!$I$2:$I$200,A22,'Test Cases'!$G$2:$G$200,"Fail")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2026-10-18T14:34:16Z</dcterms:created>
  <dc:creator>openpyxl</dc:creator>
  <dc:description/>
  <dc:language>en-US</dc:language>
  <cp:lastModifiedBy/>
  <dcterms:modified xsi:type="dcterms:W3CDTF">2026-10-18T14:34:16Z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